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데스커시그니처\Desktop\데스커\0.BXM\네이버\2602설세일+신학기\"/>
    </mc:Choice>
  </mc:AlternateContent>
  <xr:revisionPtr revIDLastSave="0" documentId="13_ncr:1_{B4BD7AB5-7176-433D-9E69-7FEF6E8DEBE1}" xr6:coauthVersionLast="36" xr6:coauthVersionMax="36" xr10:uidLastSave="{00000000-0000-0000-0000-000000000000}"/>
  <bookViews>
    <workbookView xWindow="0" yWindow="0" windowWidth="21576" windowHeight="7824" activeTab="3" xr2:uid="{00000000-000D-0000-FFFF-FFFF00000000}"/>
  </bookViews>
  <sheets>
    <sheet name="책상세트" sheetId="4" r:id="rId1"/>
    <sheet name="모션데스크" sheetId="5" r:id="rId2"/>
    <sheet name="수량" sheetId="2" r:id="rId3"/>
    <sheet name="Sheet1" sheetId="6" r:id="rId4"/>
    <sheet name="로우데이터" sheetId="1" r:id="rId5"/>
  </sheets>
  <definedNames>
    <definedName name="_xlnm._FilterDatabase" localSheetId="4" hidden="1">로우데이터!$A$1:$S$500</definedName>
  </definedNames>
  <calcPr calcId="191029"/>
  <pivotCaches>
    <pivotCache cacheId="2" r:id="rId6"/>
  </pivotCaches>
</workbook>
</file>

<file path=xl/calcChain.xml><?xml version="1.0" encoding="utf-8"?>
<calcChain xmlns="http://schemas.openxmlformats.org/spreadsheetml/2006/main">
  <c r="G6" i="5" l="1"/>
  <c r="G7" i="5"/>
  <c r="G8" i="5"/>
  <c r="G9" i="5"/>
  <c r="G5" i="5"/>
  <c r="G4" i="5"/>
  <c r="G4" i="4" l="1"/>
  <c r="G6" i="4"/>
  <c r="G7" i="4"/>
  <c r="G8" i="4"/>
  <c r="G5" i="4"/>
  <c r="K500" i="1"/>
  <c r="J500" i="1"/>
  <c r="E500" i="1"/>
  <c r="D500" i="1"/>
</calcChain>
</file>

<file path=xl/sharedStrings.xml><?xml version="1.0" encoding="utf-8"?>
<sst xmlns="http://schemas.openxmlformats.org/spreadsheetml/2006/main" count="2440" uniqueCount="596">
  <si>
    <t>대분류</t>
  </si>
  <si>
    <t>소분류</t>
  </si>
  <si>
    <t>상품명</t>
  </si>
  <si>
    <t>수량 증감</t>
  </si>
  <si>
    <t>수량 증감률(%)</t>
  </si>
  <si>
    <t>금액 증감</t>
  </si>
  <si>
    <t>금액 증감률(%)</t>
  </si>
  <si>
    <t>600폭 책장</t>
  </si>
  <si>
    <t>깊은수납형</t>
  </si>
  <si>
    <t>서랍형</t>
  </si>
  <si>
    <t>일반형</t>
  </si>
  <si>
    <t>독서실</t>
  </si>
  <si>
    <t>낮은칸막이</t>
  </si>
  <si>
    <t>독서실책상</t>
  </si>
  <si>
    <t>스터디룸</t>
  </si>
  <si>
    <t>모니터받침대</t>
  </si>
  <si>
    <t>고무충</t>
  </si>
  <si>
    <t>모션데스크</t>
  </si>
  <si>
    <t>스마트</t>
  </si>
  <si>
    <t>알파</t>
  </si>
  <si>
    <t>포레그</t>
  </si>
  <si>
    <t>프리미엄</t>
  </si>
  <si>
    <t>플러스</t>
  </si>
  <si>
    <t>보드</t>
  </si>
  <si>
    <t>목제보드</t>
  </si>
  <si>
    <t>화이트보드</t>
  </si>
  <si>
    <t>서랍</t>
  </si>
  <si>
    <t>2단슬림서랍</t>
  </si>
  <si>
    <t>3단슬림서랍</t>
  </si>
  <si>
    <t>400폭서랍</t>
  </si>
  <si>
    <t>600폭서랍</t>
  </si>
  <si>
    <t>악세서리</t>
  </si>
  <si>
    <t>기타</t>
  </si>
  <si>
    <t>의자</t>
  </si>
  <si>
    <t>벤치</t>
  </si>
  <si>
    <t>책상</t>
  </si>
  <si>
    <t>노트북</t>
  </si>
  <si>
    <t>멀티데스크</t>
  </si>
  <si>
    <t>멀티테이블</t>
  </si>
  <si>
    <t>베이직</t>
  </si>
  <si>
    <t>스탠딩데스크</t>
  </si>
  <si>
    <t>컴퓨터책상</t>
  </si>
  <si>
    <t>하부가림</t>
  </si>
  <si>
    <t>H형</t>
  </si>
  <si>
    <t>책상세트</t>
  </si>
  <si>
    <t>멀티세트</t>
  </si>
  <si>
    <t>모션멀티</t>
  </si>
  <si>
    <t>모션책상세트</t>
  </si>
  <si>
    <t>콘센트형 책상세트</t>
  </si>
  <si>
    <t>1400폭 5단 책상세트 (콘센트형,조명+도어형) + 링고/올라운드/아이블 의자</t>
  </si>
  <si>
    <t>책장</t>
  </si>
  <si>
    <t>목제</t>
  </si>
  <si>
    <t>목제깊은책장</t>
  </si>
  <si>
    <t>철제</t>
  </si>
  <si>
    <t>철제선반장</t>
  </si>
  <si>
    <t>테이블</t>
  </si>
  <si>
    <t>4/6인 테이블</t>
  </si>
  <si>
    <t>550</t>
  </si>
  <si>
    <t>다목적</t>
  </si>
  <si>
    <t>빅테이블</t>
  </si>
  <si>
    <t>소파테이블</t>
  </si>
  <si>
    <t>스탠딩</t>
  </si>
  <si>
    <t>원형</t>
  </si>
  <si>
    <t>의자세트</t>
  </si>
  <si>
    <t>타원형</t>
  </si>
  <si>
    <t>타원형사이드</t>
  </si>
  <si>
    <t>파티션/스크린</t>
  </si>
  <si>
    <t>라이트파티션</t>
  </si>
  <si>
    <t>파티션</t>
  </si>
  <si>
    <t>페트3면</t>
  </si>
  <si>
    <t>펠트</t>
  </si>
  <si>
    <t>행거</t>
  </si>
  <si>
    <t>S01</t>
  </si>
  <si>
    <t>260105최종결제수</t>
    <phoneticPr fontId="2" type="noConversion"/>
  </si>
  <si>
    <t>260105최종수량</t>
    <phoneticPr fontId="2" type="noConversion"/>
  </si>
  <si>
    <t>260105최종금액</t>
    <phoneticPr fontId="2" type="noConversion"/>
  </si>
  <si>
    <t>260105대분류 비중(전체)</t>
    <phoneticPr fontId="2" type="noConversion"/>
  </si>
  <si>
    <t>260105소분류 비중(대분류내)</t>
    <phoneticPr fontId="2" type="noConversion"/>
  </si>
  <si>
    <t>260105상품 비중(소분류내)</t>
    <phoneticPr fontId="2" type="noConversion"/>
  </si>
  <si>
    <t>260202최종결제수</t>
    <phoneticPr fontId="2" type="noConversion"/>
  </si>
  <si>
    <t>260202최종수량</t>
    <phoneticPr fontId="2" type="noConversion"/>
  </si>
  <si>
    <t>260202최종금액</t>
    <phoneticPr fontId="2" type="noConversion"/>
  </si>
  <si>
    <t>260202대분류 비중(전체)</t>
    <phoneticPr fontId="2" type="noConversion"/>
  </si>
  <si>
    <t>260202소분류 비중(대분류내)</t>
    <phoneticPr fontId="2" type="noConversion"/>
  </si>
  <si>
    <t>260202상품 비중(소분류내)</t>
    <phoneticPr fontId="2" type="noConversion"/>
  </si>
  <si>
    <t xml:space="preserve">  DSCC465S 600폭 5단 깊은 수납형 책장 하부도어형</t>
  </si>
  <si>
    <t xml:space="preserve">  DSCC465SS 600폭 5단 깊은 수납형 책장 상하부도어형</t>
  </si>
  <si>
    <t xml:space="preserve">  DSCC466S 600폭 6단 깊은 수납형 책장 하부도어형</t>
  </si>
  <si>
    <t xml:space="preserve">  DSCC466SS 600폭 6단 깊은 수납형 책장 상하부도어형</t>
  </si>
  <si>
    <t xml:space="preserve">  DSCAB0605 600폭 5단 서랍형 목제책장</t>
  </si>
  <si>
    <t xml:space="preserve">  DSCAB0605S 600폭 5단 서랍형 목제책장 상부도어형</t>
  </si>
  <si>
    <t xml:space="preserve">  DSCAB0606 600폭 6단 서랍형 목제책장</t>
  </si>
  <si>
    <t xml:space="preserve">  DSCAB0606S 600폭 6단 서랍형 목제책장 상부도어형</t>
  </si>
  <si>
    <t xml:space="preserve">  DSCC065N 600폭 5단 책장 오픈형</t>
  </si>
  <si>
    <t xml:space="preserve">  DSCC065SN 600폭 5단 책장 하부도어형</t>
  </si>
  <si>
    <t xml:space="preserve">  DSCC065SSN 600폭 5단 책장 상하부도어형</t>
  </si>
  <si>
    <t xml:space="preserve">  DSCC066 600폭 6단 책장 오픈형</t>
  </si>
  <si>
    <t xml:space="preserve">  DSCC066S 600폭 6단 책장 하부도어형</t>
  </si>
  <si>
    <t xml:space="preserve">  DSCC066SS 600폭 6단 책장 상하부도어형</t>
  </si>
  <si>
    <t xml:space="preserve">  낮은 칸막이 독서실 책상 (멀티데스크 디바이더형) 1400x700mm, 오크</t>
  </si>
  <si>
    <t xml:space="preserve">  낮은 칸막이 독서실 책상 (멀티데스크 디바이더형) 1400x700mm, 쿨그레이</t>
  </si>
  <si>
    <t xml:space="preserve">  낮은 칸막이 독서실 책상 (멀티데스크 디바이더형) 1400x700mm, 화이트</t>
  </si>
  <si>
    <t xml:space="preserve">  낮은 칸막이 독서실 책상 (멀티데스크 디바이더형) 1600x700mm, 오크</t>
  </si>
  <si>
    <t xml:space="preserve">  낮은 칸막이 독서실 책상 (멀티데스크 디바이더형) 1600x700mm, 화이트</t>
  </si>
  <si>
    <t xml:space="preserve">  낮은 칸막이 독서실 책상 (멀티데스크 디바이더형) 1600x800mm, 오크</t>
  </si>
  <si>
    <t xml:space="preserve">  낮은 칸막이 독서실 책상 (멀티데스크 디바이더형) 1600x800mm, 쿨그레이</t>
  </si>
  <si>
    <t xml:space="preserve">  낮은 칸막이 독서실 책상 (멀티데스크 디바이더형) 1600x800mm, 화이트</t>
  </si>
  <si>
    <t xml:space="preserve">  낮은 칸막이 독서실 책상 (멀티데스크 디바이더형) 1800x800mm, 오크</t>
  </si>
  <si>
    <t xml:space="preserve">  낮은 칸막이 독서실 책상 (멀티데스크 디바이더형) 1800x800mm, 쿨그레이</t>
  </si>
  <si>
    <t xml:space="preserve">  낮은 칸막이 독서실 책상 (멀티데스크 디바이더형) 1800x800mm, 화이트</t>
  </si>
  <si>
    <t xml:space="preserve">  800x600 독서실 책상(기본형) DSDAB0806</t>
  </si>
  <si>
    <t xml:space="preserve">  800x600 독서실 책상(기본형)+아이블 의자 DSDAB0801J</t>
  </si>
  <si>
    <t xml:space="preserve">  800x600 독서실 책상(조명,펠트형) DSDAB0806EG</t>
  </si>
  <si>
    <t xml:space="preserve">  800x600 독서실 책상(조명,펠트형)+아이블 의자 DSDAB0801EGJ</t>
  </si>
  <si>
    <t xml:space="preserve">  800x600 독서실 책상(조명형) DSDAB0806G</t>
  </si>
  <si>
    <t xml:space="preserve">  800x600 독서실 책상(조명형)+아이블 의자 DSDAB0801GJ</t>
  </si>
  <si>
    <t xml:space="preserve">  스터디룸 독서실 책상 (후면차단형) DSFEA1601J 1000x590mm, 화이트+베이지</t>
  </si>
  <si>
    <t xml:space="preserve">  1000폭 고속 무선 충전 USB 허브 모니터 받침대 2.0 (서랍형) DSABPA10001</t>
  </si>
  <si>
    <t xml:space="preserve">  600폭 고속 무선 충전 USB 허브 모니터 받침대 2.0 DSABPA06001</t>
  </si>
  <si>
    <t xml:space="preserve">  1000폭 모니터 받침대 (수납형) DSAA0303</t>
  </si>
  <si>
    <t xml:space="preserve">  600폭 모니터 받침대 (수납형) DSAA0302</t>
  </si>
  <si>
    <t xml:space="preserve">  600폭 모니터 받침대(기본형) DSAA0301</t>
  </si>
  <si>
    <t xml:space="preserve">  모션데스크 스마트 1200x600mm, 라이트오크</t>
  </si>
  <si>
    <t xml:space="preserve">  모션데스크 스마트 1200x600mm, 화이트</t>
  </si>
  <si>
    <t xml:space="preserve">  모션데스크 스마트 1400x600mm, 라이트오크</t>
  </si>
  <si>
    <t xml:space="preserve">  모션데스크 스마트 1400x600mm, 화이트</t>
  </si>
  <si>
    <t xml:space="preserve">  모션데스크 스마트 1600x600mm, 라이트오크</t>
  </si>
  <si>
    <t xml:space="preserve">  모션데스크 스마트 1600x600mm, 화이트</t>
  </si>
  <si>
    <t xml:space="preserve">  모션데스크 알파 1190x700, 메이플+블랙</t>
  </si>
  <si>
    <t xml:space="preserve">  모션데스크 알파 1190x700, 메이플+화이트</t>
  </si>
  <si>
    <t xml:space="preserve">  모션데스크 알파 1190x700, 모던아카시아</t>
  </si>
  <si>
    <t xml:space="preserve">  모션데스크 알파 1190x700, 빈티지블랙</t>
  </si>
  <si>
    <t xml:space="preserve">  모션데스크 알파 1190x700, 화이트</t>
  </si>
  <si>
    <t xml:space="preserve">  모션데스크 알파 1390x700, 메이플+화이트</t>
  </si>
  <si>
    <t xml:space="preserve">  모션데스크 알파 1390x700, 모던아카시아</t>
  </si>
  <si>
    <t xml:space="preserve">  모션데스크 알파 1390x700, 빈티지블랙</t>
  </si>
  <si>
    <t xml:space="preserve">  모션데스크 알파 1390x700, 화이트</t>
  </si>
  <si>
    <t xml:space="preserve">  모션데스크 알파 1590x700, 메이플+화이트</t>
  </si>
  <si>
    <t xml:space="preserve">  모션데스크 알파 1590x700, 빈티지블랙</t>
  </si>
  <si>
    <t xml:space="preserve">  모션데스크 알파 1590x700, 화이트</t>
  </si>
  <si>
    <t xml:space="preserve">  모션데스크 알파 1790x700, 메이플+블랙</t>
  </si>
  <si>
    <t xml:space="preserve">  모션데스크 알파 1790x700, 메이플+화이트</t>
  </si>
  <si>
    <t xml:space="preserve">  모션데스크 알파 1790x700, 모던아카시아</t>
  </si>
  <si>
    <t xml:space="preserve">  모션데스크 알파 1790x700, 빈티지블랙</t>
  </si>
  <si>
    <t xml:space="preserve">  모션데스크 알파 1790x700, 화이트</t>
  </si>
  <si>
    <t xml:space="preserve">  모션데스크 알파 이동형 1190x700, 메이플+블랙</t>
  </si>
  <si>
    <t xml:space="preserve">  모션데스크 알파 이동형 1190x700, 모던아카시아</t>
  </si>
  <si>
    <t xml:space="preserve">  모션데스크 알파 이동형 1190x700, 빈티지블랙</t>
  </si>
  <si>
    <t xml:space="preserve">  모션데스크 알파 이동형 1190x700, 화이트</t>
  </si>
  <si>
    <t xml:space="preserve">  모션데스크 알파 이동형 1390x700, 메이플+화이트</t>
  </si>
  <si>
    <t xml:space="preserve">  모션데스크 알파 이동형 1390x700, 모던아카시아</t>
  </si>
  <si>
    <t xml:space="preserve">  모션데스크 알파 이동형 1390x700, 화이트</t>
  </si>
  <si>
    <t xml:space="preserve">  모션데스크 알파 이동형 1590x700, 메이플+블랙</t>
  </si>
  <si>
    <t xml:space="preserve">  모션데스크 알파 이동형 1590x700, 메이플+화이트</t>
  </si>
  <si>
    <t xml:space="preserve">  모션데스크 알파 이동형 1590x700, 빈티지블랙</t>
  </si>
  <si>
    <t xml:space="preserve">  모션데스크 알파 이동형 1590x700, 화이트</t>
  </si>
  <si>
    <t xml:space="preserve">  모션데스크 알파 이동형 1790x700, 메이플+화이트</t>
  </si>
  <si>
    <t xml:space="preserve">  모션데스크 알파 이동형 1790x700, 모던아카시아</t>
  </si>
  <si>
    <t xml:space="preserve">  모션데스크 알파 이동형 1790x700, 빈티지블랙</t>
  </si>
  <si>
    <t xml:space="preserve">  모션데스크 알파 이동형 1790x700, 화이트</t>
  </si>
  <si>
    <t xml:space="preserve">  모션데스크 포레그 DSDGM1810E 1800x960mm, 화이트</t>
  </si>
  <si>
    <t xml:space="preserve">  모션테이블 포레그 DSDGM1810 1800x960mm, 빈티지블랙</t>
  </si>
  <si>
    <t xml:space="preserve">  모션테이블 포레그 DSDGM1810 1800x960mm, 화이트</t>
  </si>
  <si>
    <t xml:space="preserve">  모션데스크 프리미엄 (깊이 700) 1400x700mm, 메이플</t>
  </si>
  <si>
    <t xml:space="preserve">  모션데스크 프리미엄 (깊이 700) 1400x700mm, 모던아카시아</t>
  </si>
  <si>
    <t xml:space="preserve">  모션데스크 프리미엄 (깊이 700) 1400x700mm, 빈티지블랙</t>
  </si>
  <si>
    <t xml:space="preserve">  모션데스크 프리미엄 (깊이 700) 1400x700mm, 화이트</t>
  </si>
  <si>
    <t xml:space="preserve">  모션데스크 프리미엄 (깊이 700) 1600x700mm, 메이플</t>
  </si>
  <si>
    <t xml:space="preserve">  모션데스크 프리미엄 (깊이 700) 1600x700mm, 모던아카시아</t>
  </si>
  <si>
    <t xml:space="preserve">  모션데스크 프리미엄 (깊이 700) 1600x700mm, 빈티지블랙</t>
  </si>
  <si>
    <t xml:space="preserve">  모션데스크 프리미엄 (깊이 700) 1600x700mm, 화이트</t>
  </si>
  <si>
    <t xml:space="preserve">  모션데스크 프리미엄 (깊이 700) 1800x700mm, 메이플</t>
  </si>
  <si>
    <t xml:space="preserve">  모션데스크 프리미엄 (깊이 700) 1800x700mm, 모던아카시아</t>
  </si>
  <si>
    <t xml:space="preserve">  모션데스크 프리미엄 (깊이 700) 1800x700mm, 빈티지블랙</t>
  </si>
  <si>
    <t xml:space="preserve">  모션데스크 프리미엄 (깊이 700) 1800x700mm, 화이트</t>
  </si>
  <si>
    <t xml:space="preserve">  모션데스크 프리미엄 (깊이 800) 1400x800mm, 메이플</t>
  </si>
  <si>
    <t xml:space="preserve">  모션데스크 프리미엄 (깊이 800) 1400x800mm, 모던아카시아</t>
  </si>
  <si>
    <t xml:space="preserve">  모션데스크 프리미엄 (깊이 800) 1400x800mm, 빈티지블랙</t>
  </si>
  <si>
    <t xml:space="preserve">  모션데스크 프리미엄 (깊이 800) 1400x800mm, 화이트</t>
  </si>
  <si>
    <t xml:space="preserve">  모션데스크 프리미엄 (깊이 800) 1600x800mm, 메이플</t>
  </si>
  <si>
    <t xml:space="preserve">  모션데스크 프리미엄 (깊이 800) 1600x800mm, 모던아카시아</t>
  </si>
  <si>
    <t xml:space="preserve">  모션데스크 프리미엄 (깊이 800) 1600x800mm, 빈티지블랙</t>
  </si>
  <si>
    <t xml:space="preserve">  모션데스크 프리미엄 (깊이 800) 1600x800mm, 화이트</t>
  </si>
  <si>
    <t xml:space="preserve">  모션데스크 프리미엄 (깊이 800) 1800x800mm, 메이플</t>
  </si>
  <si>
    <t xml:space="preserve">  모션데스크 프리미엄 (깊이 800) 1800x800mm, 모던아카시아</t>
  </si>
  <si>
    <t xml:space="preserve">  모션데스크 프리미엄 (깊이 800) 1800x800mm, 빈티지블랙</t>
  </si>
  <si>
    <t xml:space="preserve">  모션데스크 프리미엄 (깊이 800) 1800x800mm, 화이트</t>
  </si>
  <si>
    <t xml:space="preserve">  모션데스크 프리미엄 조명형 (깊이 700) 1400x700mm, 메이플</t>
  </si>
  <si>
    <t xml:space="preserve">  모션데스크 프리미엄 조명형 (깊이 700) 1400x700mm, 모던아카시아</t>
  </si>
  <si>
    <t xml:space="preserve">  모션데스크 프리미엄 조명형 (깊이 700) 1400x700mm, 화이트</t>
  </si>
  <si>
    <t xml:space="preserve">  모션데스크 프리미엄 조명형 (깊이 700) 1600x700mm, 메이플</t>
  </si>
  <si>
    <t xml:space="preserve">  모션데스크 프리미엄 조명형 (깊이 700) 1600x700mm, 모던아카시아</t>
  </si>
  <si>
    <t xml:space="preserve">  모션데스크 프리미엄 조명형 (깊이 700) 1600x700mm, 빈티지블랙</t>
  </si>
  <si>
    <t xml:space="preserve">  모션데스크 프리미엄 조명형 (깊이 700) 1800x700mm, 메이플</t>
  </si>
  <si>
    <t xml:space="preserve">  모션데스크 프리미엄 조명형 (깊이 800) 1400X800mm, 메이플</t>
  </si>
  <si>
    <t xml:space="preserve">  모션데스크 프리미엄 조명형 (깊이 800) 1600X800mm, 메이플</t>
  </si>
  <si>
    <t xml:space="preserve">  모션데스크 프리미엄 조명형 (깊이 800) 1600X800mm, 모던아카시아</t>
  </si>
  <si>
    <t xml:space="preserve">  모션데스크 프리미엄 조명형 (깊이 800) 1600X800mm, 빈티지블랙</t>
  </si>
  <si>
    <t xml:space="preserve">  모션데스크 프리미엄 조명형 (깊이 800) 1600X800mm, 화이트</t>
  </si>
  <si>
    <t xml:space="preserve">  모션데스크 프리미엄 조명형 (깊이 800) 1800X800mm, 메이플</t>
  </si>
  <si>
    <t xml:space="preserve">  모션데스크 프리미엄 조명형 (깊이 800) 1800X800mm, 모던아카시아</t>
  </si>
  <si>
    <t xml:space="preserve">  모션데스크 프리미엄 조명형 (깊이 800) 1800X800mm, 빈티지블랙</t>
  </si>
  <si>
    <t xml:space="preserve">  모션데스크 프리미엄 조명형 (깊이 800) 1800X800mm, 화이트</t>
  </si>
  <si>
    <t xml:space="preserve">  모션데스크 플러스 1200x700mm, 메이플</t>
  </si>
  <si>
    <t xml:space="preserve">  모션데스크 플러스 1200x700mm, 모던아카시아</t>
  </si>
  <si>
    <t xml:space="preserve">  모션데스크 플러스 1200x700mm, 블랙</t>
  </si>
  <si>
    <t xml:space="preserve">  모션데스크 플러스 1200x700mm, 화이트</t>
  </si>
  <si>
    <t xml:space="preserve">  모션데스크 플러스 1400x700mm, 메이플</t>
  </si>
  <si>
    <t xml:space="preserve">  모션데스크 플러스 1400x700mm, 모던아카시아</t>
  </si>
  <si>
    <t xml:space="preserve">  모션데스크 플러스 1400x700mm, 블랙</t>
  </si>
  <si>
    <t xml:space="preserve">  모션데스크 플러스 1400x700mm, 화이트</t>
  </si>
  <si>
    <t xml:space="preserve">  모션데스크 플러스 1600x700mm, 메이플</t>
  </si>
  <si>
    <t xml:space="preserve">  모션데스크 플러스 1600x700mm, 모던아카시아</t>
  </si>
  <si>
    <t xml:space="preserve">  모션데스크 플러스 1600x700mm, 블랙</t>
  </si>
  <si>
    <t xml:space="preserve">  모션데스크 플러스 1600x700mm, 화이트</t>
  </si>
  <si>
    <t xml:space="preserve">  모션데스크 플러스 이동형 1200x700mm, 메이플</t>
  </si>
  <si>
    <t xml:space="preserve">  모션데스크 플러스 이동형 1200x700mm, 모던아카시아</t>
  </si>
  <si>
    <t xml:space="preserve">  모션데스크 플러스 이동형 1200x700mm, 블랙</t>
  </si>
  <si>
    <t xml:space="preserve">  모션데스크 플러스 이동형 1200x700mm, 화이트</t>
  </si>
  <si>
    <t xml:space="preserve">  모션데스크 플러스 이동형 1400x700mm, 메이플</t>
  </si>
  <si>
    <t xml:space="preserve">  모션데스크 플러스 이동형 1400x700mm, 모던아카시아</t>
  </si>
  <si>
    <t xml:space="preserve">  모션데스크 플러스 이동형 1400x700mm, 블랙</t>
  </si>
  <si>
    <t xml:space="preserve">  모션데스크 플러스 이동형 1400x700mm, 화이트</t>
  </si>
  <si>
    <t xml:space="preserve">  모션데스크 플러스 이동형 1600x700mm, 모던아카시아</t>
  </si>
  <si>
    <t xml:space="preserve">  모션데스크 플러스 이동형 1600x700mm, 블랙</t>
  </si>
  <si>
    <t xml:space="preserve">  모션데스크 플러스 이동형 1600x700mm, 화이트</t>
  </si>
  <si>
    <t xml:space="preserve">  1100폭 목제보드 DSBAA1117M</t>
  </si>
  <si>
    <t xml:space="preserve">  800폭 목제보드 DSBAA0817M</t>
  </si>
  <si>
    <t xml:space="preserve">  1100폭 양면 화이트보드 (이동형) DSBAB1117M</t>
  </si>
  <si>
    <t xml:space="preserve">  800폭 양면 화이트보드 (이동형) DSBAB0817M</t>
  </si>
  <si>
    <t xml:space="preserve">  W290 2단 슬림서랍(상단수납형) DSPBAY0302A</t>
  </si>
  <si>
    <t xml:space="preserve">  3단 슬림서랍 (글라이드,잠금장치형) DVDSAP2303A</t>
  </si>
  <si>
    <t xml:space="preserve">  3단 슬림서랍 DVDSAP1303</t>
  </si>
  <si>
    <t xml:space="preserve">  400폭 서랍 (1단 수납,잠금장치형) DSPAEY0401A</t>
  </si>
  <si>
    <t xml:space="preserve">  400폭 서랍 (3단 수납,잠금장치형) DSPAAY0403A</t>
  </si>
  <si>
    <t xml:space="preserve">  600폭 3단 서랍 DSPAAE0603</t>
  </si>
  <si>
    <t>[ ] PC 홀더</t>
  </si>
  <si>
    <t xml:space="preserve">  1200폭 책상장 상부도어</t>
  </si>
  <si>
    <t xml:space="preserve">  1400폭 책상장 상부도어</t>
  </si>
  <si>
    <t xml:space="preserve">  600폭 목제책장 전용 액세서리 (상부도어/하부도어)</t>
  </si>
  <si>
    <t xml:space="preserve">  900폭 스탠딩 데스크 (키보드트레이) DSBD509A</t>
  </si>
  <si>
    <t xml:space="preserve">  가방걸이 DSAA0201</t>
  </si>
  <si>
    <t xml:space="preserve">  데스크 암패드 DSADAA0800</t>
  </si>
  <si>
    <t xml:space="preserve">  데스크매트 DSABAA0804</t>
  </si>
  <si>
    <t xml:space="preserve">  데스크정리함 DSAF1007S</t>
  </si>
  <si>
    <t xml:space="preserve">  디스플레이 랙 DSAFAA0802</t>
  </si>
  <si>
    <t xml:space="preserve">  마그넷 바 DSAFAA0800</t>
  </si>
  <si>
    <t xml:space="preserve">  멀티 북스탠드 DSACBA0300</t>
  </si>
  <si>
    <t xml:space="preserve">  멀티 오거나이저 DSACBA0201</t>
  </si>
  <si>
    <t xml:space="preserve">  멀티데스크 가방걸이 DSAGAA0101</t>
  </si>
  <si>
    <t xml:space="preserve">  멀티데스크 수직배선커버 DSAGBA0500</t>
  </si>
  <si>
    <t xml:space="preserve">  멀티북엔드 DSAEAA0201</t>
  </si>
  <si>
    <t xml:space="preserve">  멀티탭+클램프 세트 DSABP0200</t>
  </si>
  <si>
    <t xml:space="preserve">  모션데스크 수직배선커버 (2컬럼용) DSAFMA0601 블랙</t>
  </si>
  <si>
    <t xml:space="preserve">  모션데스크 수직배선커버 DSAFMA06011 2컬럼용, 화이트</t>
  </si>
  <si>
    <t xml:space="preserve">  모션데스크 수직배선커버(3컬럼용) 블랙</t>
  </si>
  <si>
    <t xml:space="preserve">  모션데스크 수직배선커버(3컬럼용) 화이트</t>
  </si>
  <si>
    <t xml:space="preserve">  모션데스크/모션테이블 포레그 수직배선커버 빈티지블랙</t>
  </si>
  <si>
    <t xml:space="preserve">  모션데스크/모션테이블 포레그 수직배선커버 화이트</t>
  </si>
  <si>
    <t xml:space="preserve">  미니서랍 DSCDAE0202</t>
  </si>
  <si>
    <t xml:space="preserve">  스크린 악세서리 이동형 수납 선반 DSAF0101A</t>
  </si>
  <si>
    <t xml:space="preserve">  스태킹 오거나이저 DSACBA0301</t>
  </si>
  <si>
    <t xml:space="preserve">  싱글 모니터암 DSAEAA0501</t>
  </si>
  <si>
    <t xml:space="preserve">  양면 자석보드 DSFCBA0302</t>
  </si>
  <si>
    <t xml:space="preserve">  양면 펜트레이 DSAEBA0301</t>
  </si>
  <si>
    <t xml:space="preserve">  인서트 공간박스 DSAC0101A</t>
  </si>
  <si>
    <t xml:space="preserve">  케이블 홀더 2ea DSAFBA0002</t>
  </si>
  <si>
    <t xml:space="preserve">  툴박스 DSACBA0202</t>
  </si>
  <si>
    <t xml:space="preserve">  패브릭 수납박스 DSAAA0302</t>
  </si>
  <si>
    <t xml:space="preserve">  페이퍼트레이 DSACAA0301</t>
  </si>
  <si>
    <t xml:space="preserve"> X스노우맨 조명 DSAFEA0202G</t>
  </si>
  <si>
    <t xml:space="preserve">  2인용 벤치 DSCS112</t>
  </si>
  <si>
    <t xml:space="preserve">  3인용 벤치 DSCS113</t>
  </si>
  <si>
    <t xml:space="preserve">  롤리 의자 DHM1101EY1 화이트</t>
  </si>
  <si>
    <t xml:space="preserve">  스푼 의자 M08 시리즈 우든체어 DHM301E1</t>
  </si>
  <si>
    <t xml:space="preserve">  스푼 의자 M08 시리즈 인조가죽 DHM303E1</t>
  </si>
  <si>
    <t xml:space="preserve">  스푼 의자 M08 시리즈 패브릭 DHM302E1</t>
  </si>
  <si>
    <t xml:space="preserve">  시디즈 링고 의자</t>
  </si>
  <si>
    <t xml:space="preserve">  아웃라인 의자 DHM1491</t>
  </si>
  <si>
    <t xml:space="preserve">  올라운드 체어 의자</t>
  </si>
  <si>
    <t xml:space="preserve">  D01 의자 DHM154 라이트블루</t>
  </si>
  <si>
    <t xml:space="preserve">  D01 의자 DHM154 블랙</t>
  </si>
  <si>
    <t xml:space="preserve">  D01 의자 DHM154 화이트</t>
  </si>
  <si>
    <t xml:space="preserve">  노트북 책상 1000x600mm, 메이플</t>
  </si>
  <si>
    <t xml:space="preserve">  노트북 책상 1000x600mm, 빈티지블랙</t>
  </si>
  <si>
    <t xml:space="preserve">  노트북 책상 1000x600mm, 화이트</t>
  </si>
  <si>
    <t xml:space="preserve">  노트북 책상 1200x600mm, 라이트오크</t>
  </si>
  <si>
    <t xml:space="preserve">  노트북 책상 1200x600mm, 메이플</t>
  </si>
  <si>
    <t xml:space="preserve">  노트북 책상 1200x600mm, 빈티지블랙</t>
  </si>
  <si>
    <t xml:space="preserve">  노트북 책상 1200x600mm, 화이트</t>
  </si>
  <si>
    <t xml:space="preserve">  노트북 책상 1400x600mm, 라이트오크</t>
  </si>
  <si>
    <t xml:space="preserve">  노트북 책상 1400x600mm, 화이트</t>
  </si>
  <si>
    <t xml:space="preserve">  멀티데스크 1400x700mm, 오크</t>
  </si>
  <si>
    <t xml:space="preserve">  멀티데스크 1400x700mm, 쿨그레이</t>
  </si>
  <si>
    <t xml:space="preserve">  멀티데스크 1400x700mm, 화이트</t>
  </si>
  <si>
    <t xml:space="preserve">  멀티데스크 1600x700mm, 오크</t>
  </si>
  <si>
    <t xml:space="preserve">  멀티데스크 1600x700mm, 쿨그레이</t>
  </si>
  <si>
    <t xml:space="preserve">  멀티데스크 1600x700mm, 화이트</t>
  </si>
  <si>
    <t xml:space="preserve">  멀티데스크 1600x800mm, 오크</t>
  </si>
  <si>
    <t xml:space="preserve">  멀티데스크 1600x800mm, 쿨그레이</t>
  </si>
  <si>
    <t xml:space="preserve">  멀티데스크 1600x800mm, 화이트</t>
  </si>
  <si>
    <t xml:space="preserve">  멀티데스크 1800x800mm, 오크</t>
  </si>
  <si>
    <t xml:space="preserve">  멀티데스크 1800x800mm, 쿨그레이</t>
  </si>
  <si>
    <t xml:space="preserve">  멀티데스크 1800x800mm, 화이트</t>
  </si>
  <si>
    <t xml:space="preserve">  멀티테이블 1600x800mm, 오크</t>
  </si>
  <si>
    <t xml:space="preserve">  멀티테이블 1600x800mm, 쿨그레이</t>
  </si>
  <si>
    <t xml:space="preserve">  멀티테이블 1600x800mm, 화이트</t>
  </si>
  <si>
    <t xml:space="preserve">  멀티테이블 1800x800mm, 오크</t>
  </si>
  <si>
    <t xml:space="preserve">  멀티테이블 1800x800mm, 쿨그레이</t>
  </si>
  <si>
    <t xml:space="preserve">  멀티테이블 1800x800mm, 화이트</t>
  </si>
  <si>
    <t xml:space="preserve">  1200x590 베이직데스크 (1200폭, 이동형) DSDHA1206M</t>
  </si>
  <si>
    <t xml:space="preserve">  1400x700 베이직데스크 (1400폭, 이동형) DSDHA1407M</t>
  </si>
  <si>
    <t xml:space="preserve">  1600x800 베이직데스크 (1600폭, 이동형) DSDHA1608M</t>
  </si>
  <si>
    <t xml:space="preserve">  베이직 책상 (너비 1400/1600) 1400x600mm, 메이플+빈티지블랙</t>
  </si>
  <si>
    <t xml:space="preserve">  베이직 책상 (너비 1400/1600) 1400x600mm, 메이플+화이트</t>
  </si>
  <si>
    <t xml:space="preserve">  베이직 책상 (너비 1400/1600) 1400x600mm, 모던아카시아</t>
  </si>
  <si>
    <t xml:space="preserve">  베이직 책상 (너비 1400/1600) 1400x600mm, 빈티지블랙</t>
  </si>
  <si>
    <t xml:space="preserve">  베이직 책상 (너비 1400/1600) 1400x600mm, 화이트</t>
  </si>
  <si>
    <t xml:space="preserve">  베이직 책상 (너비 1400/1600) 1400x800mm, 메이플+빈티지블랙</t>
  </si>
  <si>
    <t xml:space="preserve">  베이직 책상 (너비 1400/1600) 1400x800mm, 메이플+화이트</t>
  </si>
  <si>
    <t xml:space="preserve">  베이직 책상 (너비 1400/1600) 1400x800mm, 모던아카시아</t>
  </si>
  <si>
    <t xml:space="preserve">  베이직 책상 (너비 1400/1600) 1400x800mm, 빈티지블랙</t>
  </si>
  <si>
    <t xml:space="preserve">  베이직 책상 (너비 1400/1600) 1400x800mm, 화이트</t>
  </si>
  <si>
    <t xml:space="preserve">  베이직 책상 (너비 1400/1600) 1600x800mm, 메이플+빈티지블랙</t>
  </si>
  <si>
    <t xml:space="preserve">  베이직 책상 (너비 1400/1600) 1600x800mm, 메이플+화이트</t>
  </si>
  <si>
    <t xml:space="preserve">  베이직 책상 (너비 1400/1600) 1600x800mm, 모던아카시아</t>
  </si>
  <si>
    <t xml:space="preserve">  베이직 책상 (너비 1400/1600) 1600x800mm, 빈티지블랙</t>
  </si>
  <si>
    <t xml:space="preserve">  베이직 책상 (너비 1400/1600) 1600x800mm, 화이트</t>
  </si>
  <si>
    <t xml:space="preserve">  베이직 책상 (너비 800/1000/1200) 1000x400mm, 메이플+빈티지블랙</t>
  </si>
  <si>
    <t xml:space="preserve">  베이직 책상 (너비 800/1000/1200) 1000x400mm, 메이플+화이트</t>
  </si>
  <si>
    <t xml:space="preserve">  베이직 책상 (너비 800/1000/1200) 1000x400mm, 모던아카시아</t>
  </si>
  <si>
    <t xml:space="preserve">  베이직 책상 (너비 800/1000/1200) 1000x400mm, 빈티지블랙</t>
  </si>
  <si>
    <t xml:space="preserve">  베이직 책상 (너비 800/1000/1200) 1000x400mm, 화이트</t>
  </si>
  <si>
    <t xml:space="preserve">  베이직 책상 (너비 800/1000/1200) 1200x600mm, 메이플+빈티지블랙</t>
  </si>
  <si>
    <t xml:space="preserve">  베이직 책상 (너비 800/1000/1200) 1200x600mm, 메이플+화이트</t>
  </si>
  <si>
    <t xml:space="preserve">  베이직 책상 (너비 800/1000/1200) 1200x600mm, 모던아카시아</t>
  </si>
  <si>
    <t xml:space="preserve">  베이직 책상 (너비 800/1000/1200) 1200x600mm, 빈티지블랙</t>
  </si>
  <si>
    <t xml:space="preserve">  베이직 책상 (너비 800/1000/1200) 1200x600mm, 화이트</t>
  </si>
  <si>
    <t xml:space="preserve">  베이직 책상 (너비 800/1000/1200) 1200x800mm, 메이플+빈티지블랙</t>
  </si>
  <si>
    <t xml:space="preserve">  베이직 책상 (너비 800/1000/1200) 1200x800mm, 메이플+화이트</t>
  </si>
  <si>
    <t xml:space="preserve">  베이직 책상 (너비 800/1000/1200) 1200x800mm, 모던아카시아</t>
  </si>
  <si>
    <t xml:space="preserve">  베이직 책상 (너비 800/1000/1200) 1200x800mm, 빈티지블랙</t>
  </si>
  <si>
    <t xml:space="preserve">  베이직 책상 (너비 800/1000/1200) 1200x800mm, 화이트</t>
  </si>
  <si>
    <t xml:space="preserve">  베이직 책상 (너비 800/1000/1200) 800x600mm, 메이플+빈티지블랙</t>
  </si>
  <si>
    <t xml:space="preserve">  베이직 책상 (너비 800/1000/1200) 800x600mm, 메이플+화이트</t>
  </si>
  <si>
    <t xml:space="preserve">  베이직 책상 (너비 800/1000/1200) 800x600mm, 모던아카시아</t>
  </si>
  <si>
    <t xml:space="preserve">  베이직 책상 (너비 800/1000/1200) 800x600mm, 빈티지블랙</t>
  </si>
  <si>
    <t xml:space="preserve">  베이직 책상 (너비 800/1000/1200) 800x600mm, 화이트</t>
  </si>
  <si>
    <t xml:space="preserve">  스탠딩데스크 강연대형(옵션포함) DSBD406A</t>
  </si>
  <si>
    <t xml:space="preserve">  1200x600 컴퓨터 책상 2.0 DSDBB1206</t>
  </si>
  <si>
    <t xml:space="preserve">  1200x700 컴퓨터 책상 2.0 DSDBB1207</t>
  </si>
  <si>
    <t xml:space="preserve">  1200x700 컴퓨터 책상 DSAD112D</t>
  </si>
  <si>
    <t xml:space="preserve">  1400x700 컴퓨터 책상 2.0 DSDBB1407</t>
  </si>
  <si>
    <t xml:space="preserve">  1400x800 컴퓨터 책상 2.0 DSDBB1408</t>
  </si>
  <si>
    <t xml:space="preserve">  1600x700 컴퓨터 책상 2.0 DSDBB1607</t>
  </si>
  <si>
    <t xml:space="preserve">  1600x800 컴퓨터 책상 2.0 DSDBB1608</t>
  </si>
  <si>
    <t xml:space="preserve">  1800x700 컴퓨터 책상 DSAD118D</t>
  </si>
  <si>
    <t xml:space="preserve">  1800x800 컴퓨터 책상 2.0 DSDBB1808</t>
  </si>
  <si>
    <t xml:space="preserve">  하부가림판 책상 2.0 1200x700mm, 메이플</t>
  </si>
  <si>
    <t xml:space="preserve">  하부가림판 책상 2.0 1200x700mm, 모던아카시아</t>
  </si>
  <si>
    <t xml:space="preserve">  하부가림판 책상 2.0 1200x700mm, 화이트</t>
  </si>
  <si>
    <t xml:space="preserve">  하부가림판 책상 2.0 1400x700mm, 메이플</t>
  </si>
  <si>
    <t xml:space="preserve">  하부가림판 책상 2.0 1400x700mm, 빈티지블랙</t>
  </si>
  <si>
    <t xml:space="preserve">  하부가림판 책상 2.0 1400x700mm, 화이트</t>
  </si>
  <si>
    <t xml:space="preserve">  하부가림판 책상 2.0 1600x700mm, 모던아카시아</t>
  </si>
  <si>
    <t xml:space="preserve">  하부가림판 책상 2.0 1600x700mm, 빈티지블랙</t>
  </si>
  <si>
    <t xml:space="preserve">  하부가림판 책상 2.0 1600x700mm, 화이트</t>
  </si>
  <si>
    <t xml:space="preserve">  하부가림판 책상 2.0 1800x800mm, 메이플</t>
  </si>
  <si>
    <t xml:space="preserve">  하부가림판 책상 2.0 1800x800mm, 빈티지블랙</t>
  </si>
  <si>
    <t xml:space="preserve">  하부가림판 책상 2.0 1800x800mm, 화이트</t>
  </si>
  <si>
    <t xml:space="preserve">  1200폭 5단 H형 기본형 책상(상부도어형) DSCJ065S</t>
  </si>
  <si>
    <t xml:space="preserve">  1200폭 5단 H형 기본형 책상(오픈형) DSCJ065</t>
  </si>
  <si>
    <t xml:space="preserve">  1200폭 5단 H형 콘센트형 책상(상부도어형) DSCJ165S</t>
  </si>
  <si>
    <t xml:space="preserve">  1200폭 5단 H형 콘센트형 책상(오픈형) DSCJ165</t>
  </si>
  <si>
    <t xml:space="preserve">  1400폭 5단 멀티책상세트 (조명+도어형) + 링고/올라운드/아이블 의자</t>
  </si>
  <si>
    <t xml:space="preserve">  1400폭 5단 멀티책상세트 (조명+도어형) DSDEA1401J</t>
  </si>
  <si>
    <t xml:space="preserve">  1400폭 6단 멀티책상세트 (조명+도어형) + 링고/올라운드/아이블 의자</t>
  </si>
  <si>
    <t xml:space="preserve">  1400폭 6단 멀티책상세트 (조명+도어형) DSDEA1402J</t>
  </si>
  <si>
    <t xml:space="preserve">  1600폭 5단 멀티책상세트 (조명+도어형) + 링고/올라운드/아이블 의자</t>
  </si>
  <si>
    <t xml:space="preserve">  1600폭 5단 멀티책상세트 (조명+도어형) DSDEA1601J</t>
  </si>
  <si>
    <t xml:space="preserve">  1600폭 6단 멀티책상세트 (조명+도어형) + 링고/올라운드/아이블 의자</t>
  </si>
  <si>
    <t xml:space="preserve">  1600폭 6단 멀티책상세트 (조명+도어형) DSDEA1602J</t>
  </si>
  <si>
    <t xml:space="preserve">  1400폭 5단 모션 멀티책상세트 (조명+도어형) + 링고/올라운드/아이블 의자</t>
  </si>
  <si>
    <t xml:space="preserve">  1400폭 5단 모션 멀티책상세트(조명+도어형) DSDEM1401J</t>
  </si>
  <si>
    <t xml:space="preserve">  1400폭 6단 모션 멀티책상세트 (조명+도어형) + 링고/올라운드/아이블 의자</t>
  </si>
  <si>
    <t xml:space="preserve">  1400폭 6단 모션 멀티책상세트(조명+도어형) DSDEM1402J</t>
  </si>
  <si>
    <t xml:space="preserve">  1600폭 5단 모션 멀티책상세트 (조명+도어형) + 링고/올라운드/아이블 의자</t>
  </si>
  <si>
    <t xml:space="preserve">  1600폭 5단 모션 멀티책상세트(조명+도어형) DSDEM1601J</t>
  </si>
  <si>
    <t xml:space="preserve">  1600폭 6단 모션 멀티책상세트 (조명+도어형) + 링고/올라운드/아이블 의자</t>
  </si>
  <si>
    <t xml:space="preserve">  1600폭 6단 모션 멀티책상세트(조명+도어형) DSDEM1602J</t>
  </si>
  <si>
    <t xml:space="preserve">  1200폭 5단 모션 책상세트 (조명,도어)</t>
  </si>
  <si>
    <t xml:space="preserve">  1200폭 5단 모션 책상세트 (조명+도어형) + 링고/올라운드/아이블 의자</t>
  </si>
  <si>
    <t xml:space="preserve">  1200폭 6단 모션 책상세트 (조명,도어) DSDCM1202J</t>
  </si>
  <si>
    <t xml:space="preserve">  1200폭 6단 모션 책상세트 (조명+도어형) + 링고/올라운드/아이블 의자</t>
  </si>
  <si>
    <t xml:space="preserve">  1400폭 5단 모션 책상세트 (조명,도어)</t>
  </si>
  <si>
    <t xml:space="preserve">  1400폭 5단 모션 책상세트 (조명+도어형) + 링고/올라운드/아이블 의자</t>
  </si>
  <si>
    <t xml:space="preserve">  1400폭 6단 모션 책상세트 (조명,도어)</t>
  </si>
  <si>
    <t xml:space="preserve">  1400폭 6단 모션 책상세트 (조명+도어형) + 링고/올라운드/아이블 의자</t>
  </si>
  <si>
    <t xml:space="preserve">  1200폭 5단 책상세트 (콘센트형, 조명+도어형) DSCJ125ALSN</t>
  </si>
  <si>
    <t xml:space="preserve">  1200폭 5단 책상세트 (콘센트형,조명+도어형) + 링고/올라운드/아이블 의자</t>
  </si>
  <si>
    <t xml:space="preserve">  1200폭 6단 책상세트 (콘센트형, 조명+도어형) DSCJ126ALS</t>
  </si>
  <si>
    <t xml:space="preserve">  1200폭 6단 책상세트 (콘센트형,조명+도어형) + 링고/올라운드/아이블 의자</t>
  </si>
  <si>
    <t xml:space="preserve">  1400폭 5단 책상세트 (콘센트형, 조명+도어형) DSCJ145ALS</t>
  </si>
  <si>
    <t xml:space="preserve">  1400폭 6단 책상세트 (콘센트형,조명+도어형) + 링고/올라운드/아이블 의자</t>
  </si>
  <si>
    <t xml:space="preserve">  1400폭 6단 책상세트(콘센트형, 조명+도어형) DSCJ146ALS</t>
  </si>
  <si>
    <t xml:space="preserve">  1600폭 목제책장 수납형 1600X311X1062mm, 3단, 모던아카시아</t>
  </si>
  <si>
    <t xml:space="preserve">  1600폭 목제책장 수납형 1600X311X1062mm, 3단, 빈티지블랙</t>
  </si>
  <si>
    <t xml:space="preserve">  1600폭 목제책장 수납형 1600X311X1062mm, 3단, 화이트</t>
  </si>
  <si>
    <t xml:space="preserve">  1600폭 목제책장 수납형 1600X311X723mm, 2단, 모던아카시아</t>
  </si>
  <si>
    <t xml:space="preserve">  1600폭 목제책장 수납형 1600X311X723mm, 2단, 빈티지블랙</t>
  </si>
  <si>
    <t xml:space="preserve">  1600폭 목제책장 수납형 1600X311X723mm, 2단, 화이트</t>
  </si>
  <si>
    <t xml:space="preserve">  1600폭 목제책장 오픈형 1600X289X1058.5mm, 3단, 메이플+빈티지블랙</t>
  </si>
  <si>
    <t xml:space="preserve">  1600폭 목제책장 오픈형 1600X289X1058.5mm, 3단, 메이플+화이트</t>
  </si>
  <si>
    <t xml:space="preserve">  1600폭 목제책장 오픈형 1600X289X1058.5mm, 3단, 빈티지블랙</t>
  </si>
  <si>
    <t xml:space="preserve">  1600폭 목제책장 오픈형 1600X289X1058.5mm, 3단, 화이트</t>
  </si>
  <si>
    <t xml:space="preserve">  1600폭 목제책장 오픈형 1600X289X720mm, 2단, 메이플+빈티지블랙</t>
  </si>
  <si>
    <t xml:space="preserve">  1600폭 목제책장 오픈형 1600X289X720mm, 2단, 메이플+화이트</t>
  </si>
  <si>
    <t xml:space="preserve">  1600폭 목제책장 오픈형 1600X289X720mm, 2단, 모던아카시아</t>
  </si>
  <si>
    <t xml:space="preserve">  1600폭 목제책장 오픈형 1600X289X720mm, 2단, 모던아카시아+빈티지블랙</t>
  </si>
  <si>
    <t xml:space="preserve">  1600폭 목제책장 오픈형 1600X289X720mm, 2단, 빈티지블랙</t>
  </si>
  <si>
    <t xml:space="preserve">  1600폭 목제책장 오픈형 1600X289X720mm, 2단, 화이트</t>
  </si>
  <si>
    <t xml:space="preserve">  800폭 목제책장 수납형 800X311X723mm, 2단, 빈티지블랙</t>
  </si>
  <si>
    <t xml:space="preserve">  800폭 목제책장 수납형 800X311X723mm, 2단, 화이트</t>
  </si>
  <si>
    <t xml:space="preserve">  800폭 목제책장 오픈형 800x290x1059mm, 3단, 메이플+빈티지블랙</t>
  </si>
  <si>
    <t xml:space="preserve">  800폭 목제책장 오픈형 800x290x1059mm, 3단, 메이플+화이트</t>
  </si>
  <si>
    <t xml:space="preserve">  800폭 목제책장 오픈형 800x290x1059mm, 3단, 모던아카시아</t>
  </si>
  <si>
    <t xml:space="preserve">  800폭 목제책장 오픈형 800x290x1059mm, 3단, 모던아카시아+빈티지블랙</t>
  </si>
  <si>
    <t xml:space="preserve">  800폭 목제책장 오픈형 800x290x1059mm, 3단, 빈티지블랙</t>
  </si>
  <si>
    <t xml:space="preserve">  800폭 목제책장 오픈형 800x290x1059mm, 3단, 화이트</t>
  </si>
  <si>
    <t xml:space="preserve">  800폭 목제책장 오픈형 800x290x1735.5mm, 5단, 메이플+빈티지블랙</t>
  </si>
  <si>
    <t xml:space="preserve">  800폭 목제책장 오픈형 800x290x1735.5mm, 5단, 메이플+화이트</t>
  </si>
  <si>
    <t xml:space="preserve">  800폭 목제책장 오픈형 800x290x1735.5mm, 5단, 모던아카시아+빈티지블랙</t>
  </si>
  <si>
    <t xml:space="preserve">  800폭 목제책장 오픈형 800x290x1735.5mm, 5단, 빈티지블랙</t>
  </si>
  <si>
    <t xml:space="preserve">  800폭 목제책장 오픈형 800x290x1735.5mm, 5단, 화이트</t>
  </si>
  <si>
    <t xml:space="preserve">  800폭 목제책장 오픈형 800x290x720mm, 2단, 메이플+화이트</t>
  </si>
  <si>
    <t xml:space="preserve">  800폭 목제책장 오픈형 800x290x720mm, 2단, 모던아카시아</t>
  </si>
  <si>
    <t xml:space="preserve">  800폭 목제책장 오픈형 800x290x720mm, 2단, 모던아카시아+빈티지블랙</t>
  </si>
  <si>
    <t xml:space="preserve">  800폭 목제책장 오픈형 800x290x720mm, 2단, 빈티지블랙</t>
  </si>
  <si>
    <t xml:space="preserve">  800폭 목제책장 오픈형 800x290x720mm, 2단, 화이트</t>
  </si>
  <si>
    <t xml:space="preserve">  800폭 3단 수납형 목제깊은수납장 도어형 DSCB0835A 800x411x1738mm, 5단, 빈티지블랙</t>
  </si>
  <si>
    <t xml:space="preserve">  800폭 3단 수납형 목제깊은수납장 도어형 DSCB0835A 800x411x1738mm, 5단, 화이트</t>
  </si>
  <si>
    <t xml:space="preserve">  800폭 3단 수납형 목제깊은책장 잠금장치 포함 DSBC483SA 빈티지블랙</t>
  </si>
  <si>
    <t xml:space="preserve">  800폭 3단 수납형 목제깊은책장 잠금장치 포함 DSBC483SA 화이트</t>
  </si>
  <si>
    <t xml:space="preserve">  800폭 5단 수납형 깊은 목제책장 도어형 DSCB0855A 모던아카시아</t>
  </si>
  <si>
    <t xml:space="preserve">  800폭 5단 수납형 깊은 목제책장 도어형 DSCB0855A 빈티지블랙</t>
  </si>
  <si>
    <t xml:space="preserve">  800폭 5단 수납형 깊은 목제책장 도어형 DSCB0855A 화이트</t>
  </si>
  <si>
    <t xml:space="preserve">  800폭 깊은 목제책장 오픈형 800x390x1058.5, 3단, 메이플+화이트</t>
  </si>
  <si>
    <t xml:space="preserve">  800폭 깊은 목제책장 오픈형 800x390x1058.5, 3단, 모던아카시아</t>
  </si>
  <si>
    <t xml:space="preserve">  800폭 깊은 목제책장 오픈형 800x390x1058.5, 3단, 빈티지블랙</t>
  </si>
  <si>
    <t xml:space="preserve">  800폭 깊은 목제책장 오픈형 800x390x1058.5, 3단, 화이트</t>
  </si>
  <si>
    <t xml:space="preserve">  800폭 깊은 목제책장 오픈형 800x390x1735.5, 5단, 메이플+화이트</t>
  </si>
  <si>
    <t xml:space="preserve">  800폭 깊은 목제책장 오픈형 800x390x1735.5, 5단, 모던아카시아</t>
  </si>
  <si>
    <t xml:space="preserve">  800폭 깊은 목제책장 오픈형 800x390x1735.5, 5단, 모던아카시아+빈티지블랙</t>
  </si>
  <si>
    <t xml:space="preserve">  800폭 깊은 목제책장 오픈형 800x390x1735.5, 5단, 화이트</t>
  </si>
  <si>
    <t xml:space="preserve">  1200폭 철제책장 수납형 1200x1061x320mm, 3단, 메이플+화이트</t>
  </si>
  <si>
    <t xml:space="preserve">  1200폭 철제책장 수납형 1200x1061x320mm, 3단, 빈티지블랙</t>
  </si>
  <si>
    <t xml:space="preserve">  1200폭 철제책장 수납형 1200x1061x320mm, 3단, 화이트</t>
  </si>
  <si>
    <t xml:space="preserve">  1200폭 철제책장 수납형 1200x1738x320mm, 5단, 메이플+화이트</t>
  </si>
  <si>
    <t xml:space="preserve">  1200폭 철제책장 수납형 1200x1738x320mm, 5단, 모던아카시아+빈티지블랙</t>
  </si>
  <si>
    <t xml:space="preserve">  1200폭 철제책장 수납형 1200x1738x320mm, 5단, 빈티지블랙</t>
  </si>
  <si>
    <t xml:space="preserve">  1200폭 철제책장 수납형 1200x1738x320mm, 5단, 화이트</t>
  </si>
  <si>
    <t xml:space="preserve">  1200폭 철제책장 오픈형 1200x1061x320mm, 3단, 메이플+빈티지블랙</t>
  </si>
  <si>
    <t xml:space="preserve">  1200폭 철제책장 오픈형 1200x1061x320mm, 3단, 메이플+화이트</t>
  </si>
  <si>
    <t xml:space="preserve">  1200폭 철제책장 오픈형 1200x1061x320mm, 3단, 모던아카시아+빈티지블랙</t>
  </si>
  <si>
    <t xml:space="preserve">  1200폭 철제책장 오픈형 1200x1061x320mm, 3단, 빈티지블랙</t>
  </si>
  <si>
    <t xml:space="preserve">  1200폭 철제책장 오픈형 1200x1061x320mm, 3단, 화이트</t>
  </si>
  <si>
    <t xml:space="preserve">  1200폭 철제책장 오픈형 1200x1738x320mm, 5단, 메이플+화이트</t>
  </si>
  <si>
    <t xml:space="preserve">  1200폭 철제책장 오픈형 1200x1738x320mm, 5단, 모던아카시아+빈티지블랙</t>
  </si>
  <si>
    <t xml:space="preserve">  1200폭 철제책장 오픈형 1200x1738x320mm, 5단, 빈티지블랙</t>
  </si>
  <si>
    <t xml:space="preserve">  1200폭 철제책장 오픈형 1200x1738x320mm, 5단, 화이트</t>
  </si>
  <si>
    <t xml:space="preserve">  800폭 철제책장 수납형 800x1061x320mm, 3단, 메이플+빈티지블랙</t>
  </si>
  <si>
    <t xml:space="preserve">  800폭 철제책장 수납형 800x1061x320mm, 3단, 메이플+화이트</t>
  </si>
  <si>
    <t xml:space="preserve">  800폭 철제책장 수납형 800x1061x320mm, 3단, 모던아카시아+빈티지블랙</t>
  </si>
  <si>
    <t xml:space="preserve">  800폭 철제책장 수납형 800x1061x320mm, 3단, 빈티지블랙</t>
  </si>
  <si>
    <t xml:space="preserve">  800폭 철제책장 수납형 800x1061x320mm, 3단, 화이트</t>
  </si>
  <si>
    <t xml:space="preserve">  800폭 철제책장 수납형 800x1738x320mm, 5단, 메이플+빈티지블랙</t>
  </si>
  <si>
    <t xml:space="preserve">  800폭 철제책장 수납형 800x1738x320mm, 5단, 메이플+화이트</t>
  </si>
  <si>
    <t xml:space="preserve">  800폭 철제책장 수납형 800x1738x320mm, 5단, 모던아카시아+빈티지블랙</t>
  </si>
  <si>
    <t xml:space="preserve">  800폭 철제책장 수납형 800x1738x320mm, 5단, 빈티지블랙</t>
  </si>
  <si>
    <t xml:space="preserve">  800폭 철제책장 수납형 800x1738x320mm, 5단, 화이트</t>
  </si>
  <si>
    <t xml:space="preserve">  800폭 철제책장 수납형(잠금장치형) 800x1061x320mm, 3단, 메이플+화이트</t>
  </si>
  <si>
    <t xml:space="preserve">  800폭 철제책장 수납형(잠금장치형) 800x1061x320mm, 3단, 빈티지블랙</t>
  </si>
  <si>
    <t xml:space="preserve">  800폭 철제책장 수납형(잠금장치형) 800x1061x320mm, 3단, 화이트</t>
  </si>
  <si>
    <t xml:space="preserve">  800폭 철제책장 수납형(잠금장치형) 800x1738x320mm, 5단, 메이플+화이트</t>
  </si>
  <si>
    <t xml:space="preserve">  800폭 철제책장 수납형(잠금장치형) 800x1738x320mm, 5단, 빈티지블랙</t>
  </si>
  <si>
    <t xml:space="preserve">  800폭 철제책장 수납형(잠금장치형) 800x1738x320mm, 5단, 화이트</t>
  </si>
  <si>
    <t xml:space="preserve">  800폭 철제책장 오픈형 800x1061x320mm, 3단, 메이플+화이트</t>
  </si>
  <si>
    <t xml:space="preserve">  800폭 철제책장 오픈형 800x1061x320mm, 3단, 모던아카시아+빈티지블랙</t>
  </si>
  <si>
    <t xml:space="preserve">  800폭 철제책장 오픈형 800x1061x320mm, 3단, 빈티지블랙</t>
  </si>
  <si>
    <t xml:space="preserve">  800폭 철제책장 오픈형 800x1061x320mm, 3단, 화이트</t>
  </si>
  <si>
    <t xml:space="preserve">  800폭 철제책장 오픈형 800x1738x320mm, 5단, 메이플+화이트</t>
  </si>
  <si>
    <t xml:space="preserve">  800폭 철제책장 오픈형 800x1738x320mm, 5단, 모던아카시아+빈티지블랙</t>
  </si>
  <si>
    <t xml:space="preserve">  800폭 철제책장 오픈형 800x1738x320mm, 5단, 빈티지블랙</t>
  </si>
  <si>
    <t xml:space="preserve">  800폭 철제책장 오픈형 800x1738x320mm, 5단, 화이트</t>
  </si>
  <si>
    <t xml:space="preserve">  800폭 3단 스틸 철제선반장 (1단도어, 조명) DSCDB0803L</t>
  </si>
  <si>
    <t xml:space="preserve">  800폭 3단 스틸 철제선반장 (1단도어) DSCDA0803L</t>
  </si>
  <si>
    <t xml:space="preserve">  800폭 3단 스틸 철제선반장 (2단도어, 조명) DSCDB0803H</t>
  </si>
  <si>
    <t xml:space="preserve">  800폭 3단 스틸 철제선반장 (2단도어) DSCDA0803H</t>
  </si>
  <si>
    <t xml:space="preserve">  800폭 4단 스틸 철제선반장(1단 도어, 조명) DSCDB0804L</t>
  </si>
  <si>
    <t xml:space="preserve">  800폭 4단 스틸 철제선반장(1단 도어) DSCDA0804L</t>
  </si>
  <si>
    <t xml:space="preserve">  800폭 4단 스틸 철제선반장(2단 도어, 조명) DSCDB0804H</t>
  </si>
  <si>
    <t xml:space="preserve">  800폭 4단 스틸 철제선반장(2단 도어) DSCDA0804H</t>
  </si>
  <si>
    <t xml:space="preserve">  800폭 5단 스틸 철제선반장(1단 도어, 조명) DSCDB0805L</t>
  </si>
  <si>
    <t xml:space="preserve">  800폭 5단 스틸 철제선반장(1단 도어) DSCDA0805L</t>
  </si>
  <si>
    <t xml:space="preserve">  800폭 5단 스틸 철제선반장(2단 도어, 조명) DSCDB0805H</t>
  </si>
  <si>
    <t xml:space="preserve">  800폭 5단 스틸 철제선반장(2단 도어) DSCDA0805H</t>
  </si>
  <si>
    <t xml:space="preserve">  4인 6인 테이블 기본형 1400mm, 화이트</t>
  </si>
  <si>
    <t xml:space="preserve">  4인 6인 테이블 기본형 1900mm, 메이플+빈티지블랙</t>
  </si>
  <si>
    <t xml:space="preserve">  4인 6인 테이블 기본형 1900mm, 메이플+화이트</t>
  </si>
  <si>
    <t xml:space="preserve">  4인 6인 테이블 기본형 1900mm, 화이트</t>
  </si>
  <si>
    <t xml:space="preserve">  4인 6인 테이블 콘센트형 1400mm, 메이플+빈티지블랙</t>
  </si>
  <si>
    <t xml:space="preserve">  4인 6인 테이블 콘센트형 1400mm, 메이플+화이트</t>
  </si>
  <si>
    <t xml:space="preserve">  4인 6인 테이블 콘센트형 1400mm, 빈티지블랙</t>
  </si>
  <si>
    <t xml:space="preserve">  4인 6인 테이블 콘센트형 1400mm, 화이트</t>
  </si>
  <si>
    <t xml:space="preserve">  4인 6인 테이블 콘센트형 1900mm, 메이플+빈티지블랙</t>
  </si>
  <si>
    <t xml:space="preserve">  4인 6인 테이블 콘센트형 1900mm, 메이플+화이트</t>
  </si>
  <si>
    <t xml:space="preserve">  4인 6인 테이블 콘센트형 1900mm, 화이트</t>
  </si>
  <si>
    <t xml:space="preserve">  550x550 카페 테이블 DSBD0550</t>
  </si>
  <si>
    <t xml:space="preserve">  800x600 다목적 테이블 (이동형) DSTB0806M</t>
  </si>
  <si>
    <t xml:space="preserve">  2800폭 기본형 빅테이블 사각타입 DSTA2810</t>
  </si>
  <si>
    <t xml:space="preserve">  2800폭 콘센트형 빅테이블 사각타입 DSTC2810</t>
  </si>
  <si>
    <t xml:space="preserve">  3400폭 콘센트형 빅테이블 라운드타입 DSTC3410R</t>
  </si>
  <si>
    <t xml:space="preserve">  700폭 소파테이블 이동형 DSTEA0705M</t>
  </si>
  <si>
    <t xml:space="preserve">  스탠딩 테이블 1200x400mm, 메이플+화이트</t>
  </si>
  <si>
    <t xml:space="preserve">  스탠딩 테이블 1200x400mm, 빈티지블랙</t>
  </si>
  <si>
    <t xml:space="preserve">  스탠딩 테이블 1200x400mm, 화이트</t>
  </si>
  <si>
    <t xml:space="preserve">  스탠딩 테이블 1200x600mm, 메이플+빈티지블랙</t>
  </si>
  <si>
    <t xml:space="preserve">  스탠딩 테이블 1200x600mm, 메이플+화이트</t>
  </si>
  <si>
    <t xml:space="preserve">  스탠딩 테이블 1200x600mm, 빈티지블랙</t>
  </si>
  <si>
    <t xml:space="preserve">  스탠딩 테이블 1200x600mm, 화이트</t>
  </si>
  <si>
    <t xml:space="preserve">  원형테이블 식탁 1000mm, 화이트</t>
  </si>
  <si>
    <t xml:space="preserve">  원형테이블 식탁 800mm, 화이트</t>
  </si>
  <si>
    <t xml:space="preserve">  4인 6인 테이블 기본형 (M02의자 세트) 1400mm, 화이트</t>
  </si>
  <si>
    <t xml:space="preserve">  4인 6인 테이블 기본형 (M02의자 세트) 1900mm, 화이트</t>
  </si>
  <si>
    <t xml:space="preserve">  4인 6인 테이블 콘센트형 (M02의자 세트) 1400mm, 메이플+화이트</t>
  </si>
  <si>
    <t xml:space="preserve">  4인 6인 테이블 콘센트형 (M02의자 세트) 1900mm, 화이트</t>
  </si>
  <si>
    <t xml:space="preserve">  6인용 식탁 세트 (기본형 테이블, 아웃라인 의자 4ea) 1900mm, 빈티지블랙+블랙</t>
  </si>
  <si>
    <t xml:space="preserve">  6인용 식탁 세트 (기본형 테이블, 아웃라인 의자 4ea) 1900mm, 화이트+화이트</t>
  </si>
  <si>
    <t xml:space="preserve">  6인용 식탁 세트 (콘센트형 테이블, 아웃라인 의자 4ea) 1900mm, 빈티지블랙+블랙</t>
  </si>
  <si>
    <t xml:space="preserve">  6인용 식탁 세트 (콘센트형 테이블, 아웃라인 의자 4ea) 1900mm, 화이트+화이트</t>
  </si>
  <si>
    <t xml:space="preserve">  1600x800 타원형 테이블 (기본형) DSTAA1608R</t>
  </si>
  <si>
    <t xml:space="preserve">  1600x800 타원형 테이블 (콘센트형) DSTAC1608R</t>
  </si>
  <si>
    <t xml:space="preserve">  600폭 타원형 사이드테이블 DSTBA0703 쿨그레이</t>
  </si>
  <si>
    <t xml:space="preserve">  600폭 타원형 사이드테이블 DSTBA0703 화이트</t>
  </si>
  <si>
    <t xml:space="preserve">  1200폭 라이트파티션(커넥터 기본 2개 포함) DSFAA1212</t>
  </si>
  <si>
    <t xml:space="preserve">  1400폭 라이트파티션(커넥터 기본 2개 포함) DSFAA1412</t>
  </si>
  <si>
    <t xml:space="preserve">  700폭 라이트파티션(커넥터 기본 2개 포함) DSFAA0712</t>
  </si>
  <si>
    <t xml:space="preserve">  800폭 라이트파티션(커넥터 기본 2개 포함) DSFAA0812</t>
  </si>
  <si>
    <t xml:space="preserve">  1200폭 전면 스크린 DSAF012</t>
  </si>
  <si>
    <t xml:space="preserve">  1400폭 전면 스크린 DSAF014</t>
  </si>
  <si>
    <t xml:space="preserve">  1600폭 전면 스크린 DSAF016</t>
  </si>
  <si>
    <t xml:space="preserve">  1800폭 전면 스크린 DSAF018</t>
  </si>
  <si>
    <t xml:space="preserve">  1200폭 낮은 목제 파티션 DSFCAY1212</t>
  </si>
  <si>
    <t xml:space="preserve">  1400폭 낮은 목제 파티션 DSFCAY1214</t>
  </si>
  <si>
    <t xml:space="preserve">  1600폭 낮은 목제 파티션 DSFCAY1216</t>
  </si>
  <si>
    <t xml:space="preserve">  1800폭 낮은 목제 파티션 DSFCAY1218</t>
  </si>
  <si>
    <t xml:space="preserve">  700폭 낮은 목제 파티션 DSFCAY1207</t>
  </si>
  <si>
    <t xml:space="preserve">  800폭 낮은 목제 파티션 DSFCAY1208</t>
  </si>
  <si>
    <t xml:space="preserve">  800폭 높은 목제 파티션 DSFCAY1708</t>
  </si>
  <si>
    <t xml:space="preserve">  800폭 높은 목제 파티션(안정대, 엔드마감 포함) DSFCA1708A</t>
  </si>
  <si>
    <t xml:space="preserve">  낮은 목제 파티션 엔드마감 DSFCEV1101</t>
  </si>
  <si>
    <t xml:space="preserve">  낮은 목제 파티션 L형 커넥터 DSFCEE1101</t>
  </si>
  <si>
    <t xml:space="preserve">  높은 목제 파티션 엔드마감 DSFCEV1701</t>
  </si>
  <si>
    <t xml:space="preserve">  목제 파티션 안정대 (높은, 낮은 겸용) DSFCAE0301</t>
  </si>
  <si>
    <t xml:space="preserve">  1200폭 페트 3면 스크린 DSFBA2606</t>
  </si>
  <si>
    <t xml:space="preserve">  1400폭 페트 3면 스크린 DSFBA2806</t>
  </si>
  <si>
    <t xml:space="preserve">  1600폭 페트 3면 스크린 DSFBA3006</t>
  </si>
  <si>
    <t xml:space="preserve">  1800폭 페트 3면 스크린 DSFBA3206</t>
  </si>
  <si>
    <t xml:space="preserve">  1200폭 펠트 스크린 DSBF712</t>
  </si>
  <si>
    <t xml:space="preserve">  1400폭 펠트 스크린 DSBF714</t>
  </si>
  <si>
    <t xml:space="preserve">  1600폭 펠트 스크린 DSBF716</t>
  </si>
  <si>
    <t xml:space="preserve">  700폭 펠트 스크린 DSBF707</t>
  </si>
  <si>
    <t xml:space="preserve">  800폭 행거 DSAC185W</t>
  </si>
  <si>
    <t xml:space="preserve">  S01 등쿠션 DSSBAA0603 그린</t>
  </si>
  <si>
    <t xml:space="preserve">  S01 등쿠션 DSSBAA0603 네이비</t>
  </si>
  <si>
    <t xml:space="preserve">  S01 등쿠션 DSSBAA0603 라이트그레이</t>
  </si>
  <si>
    <t xml:space="preserve">  S01 등쿠션 DSSBAA0603 핑크</t>
  </si>
  <si>
    <t xml:space="preserve">  S01 소파 (등쿠션 2ea 포함) DSSBA1602J 스툴미포함, 다크그레이, 2인용</t>
  </si>
  <si>
    <t xml:space="preserve">  S01 소파 (등쿠션 2ea 포함) DSSBA1602J 스툴미포함, 라이트그레이, 2인용</t>
  </si>
  <si>
    <t xml:space="preserve">  S01 소파 스툴미포함, 라이트그레이, 3인용</t>
  </si>
  <si>
    <t xml:space="preserve">  S01 스툴 (이동형) DSSBAA0504 네이비</t>
  </si>
  <si>
    <t xml:space="preserve">  S01 스툴 (이동형) DSSBAA0504 라이트그레이</t>
  </si>
  <si>
    <t>행 레이블</t>
  </si>
  <si>
    <t>(비어 있음)</t>
  </si>
  <si>
    <t>총합계</t>
  </si>
  <si>
    <t>합계 : 260105최종수량</t>
  </si>
  <si>
    <t>합계 : 260202최종수량</t>
  </si>
  <si>
    <t>합계 : 수량 증감</t>
  </si>
  <si>
    <t>260105비중</t>
    <phoneticPr fontId="2" type="noConversion"/>
  </si>
  <si>
    <t>260202비중</t>
    <phoneticPr fontId="2" type="noConversion"/>
  </si>
  <si>
    <t>비중증감</t>
    <phoneticPr fontId="2" type="noConversion"/>
  </si>
  <si>
    <t>희망일배송</t>
    <phoneticPr fontId="2" type="noConversion"/>
  </si>
  <si>
    <t>V</t>
    <phoneticPr fontId="2" type="noConversion"/>
  </si>
  <si>
    <t>제안</t>
    <phoneticPr fontId="2" type="noConversion"/>
  </si>
  <si>
    <t>V</t>
    <phoneticPr fontId="2" type="noConversion"/>
  </si>
  <si>
    <t>V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</si>
</sst>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.0_);[Red]\(0.0\)"/>
  </numFmts>
  <fonts count="8" x14ac:knownFonts="1">
    <font>
      <sz val="12"/>
      <color theme="1"/>
      <name val="맑은 고딕"/>
      <family val="2"/>
      <scheme val="minor"/>
    </font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rgb="FFFF0000"/>
      <name val="맑은 고딕"/>
      <family val="2"/>
      <scheme val="minor"/>
    </font>
    <font>
      <sz val="12"/>
      <color theme="1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25">
    <xf numFmtId="0" fontId="0" fillId="0" borderId="0" xfId="0" applyNumberFormat="1"/>
    <xf numFmtId="10" fontId="0" fillId="0" borderId="0" xfId="0" applyNumberFormat="1"/>
    <xf numFmtId="0" fontId="0" fillId="2" borderId="0" xfId="0" applyNumberFormat="1" applyFill="1"/>
    <xf numFmtId="10" fontId="0" fillId="2" borderId="0" xfId="0" applyNumberFormat="1" applyFill="1"/>
    <xf numFmtId="0" fontId="0" fillId="3" borderId="0" xfId="0" applyNumberFormat="1" applyFill="1"/>
    <xf numFmtId="10" fontId="0" fillId="3" borderId="0" xfId="0" applyNumberFormat="1" applyFill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0" fontId="0" fillId="0" borderId="0" xfId="0" applyNumberFormat="1" applyAlignment="1">
      <alignment horizontal="left" indent="1"/>
    </xf>
    <xf numFmtId="0" fontId="0" fillId="3" borderId="0" xfId="0" applyNumberFormat="1" applyFill="1" applyAlignment="1">
      <alignment horizontal="left" indent="1"/>
    </xf>
    <xf numFmtId="0" fontId="0" fillId="0" borderId="0" xfId="0" applyNumberFormat="1" applyAlignment="1">
      <alignment horizontal="left" indent="2"/>
    </xf>
    <xf numFmtId="0" fontId="0" fillId="4" borderId="0" xfId="0" applyNumberFormat="1" applyFill="1" applyAlignment="1">
      <alignment horizontal="left" indent="2"/>
    </xf>
    <xf numFmtId="0" fontId="0" fillId="4" borderId="0" xfId="0" applyNumberFormat="1" applyFill="1"/>
    <xf numFmtId="9" fontId="0" fillId="0" borderId="0" xfId="1" applyFont="1" applyAlignment="1"/>
    <xf numFmtId="0" fontId="3" fillId="0" borderId="0" xfId="0" applyNumberFormat="1" applyFont="1"/>
    <xf numFmtId="9" fontId="3" fillId="0" borderId="0" xfId="1" applyFont="1" applyAlignment="1"/>
    <xf numFmtId="9" fontId="0" fillId="0" borderId="0" xfId="0" applyNumberFormat="1"/>
    <xf numFmtId="9" fontId="3" fillId="0" borderId="0" xfId="0" applyNumberFormat="1" applyFont="1"/>
    <xf numFmtId="0" fontId="3" fillId="0" borderId="0" xfId="0" applyNumberFormat="1" applyFont="1" applyAlignment="1">
      <alignment horizontal="center"/>
    </xf>
    <xf numFmtId="9" fontId="4" fillId="0" borderId="0" xfId="0" applyNumberFormat="1" applyFont="1"/>
    <xf numFmtId="177" fontId="0" fillId="0" borderId="0" xfId="0" applyNumberFormat="1"/>
    <xf numFmtId="0" fontId="5" fillId="0" borderId="0" xfId="0" applyNumberFormat="1" applyFont="1"/>
    <xf numFmtId="0" fontId="6" fillId="0" borderId="0" xfId="0" applyNumberFormat="1" applyFont="1"/>
    <xf numFmtId="176" fontId="7" fillId="0" borderId="0" xfId="0" applyNumberFormat="1" applyFont="1"/>
    <xf numFmtId="10" fontId="7" fillId="0" borderId="0" xfId="0" applyNumberFormat="1" applyFont="1"/>
  </cellXfs>
  <cellStyles count="2">
    <cellStyle name="백분율" xfId="1" builtinId="5"/>
    <cellStyle name="표준" xfId="0" builtinId="0"/>
  </cellStyles>
  <dxfs count="42"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ont>
        <b/>
        <family val="3"/>
        <charset val="129"/>
      </font>
    </dxf>
    <dxf>
      <font>
        <b/>
        <family val="3"/>
        <charset val="129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SKER" refreshedDate="46062.444324537035" createdVersion="6" refreshedVersion="6" minRefreshableVersion="3" recordCount="500" xr:uid="{AB9C7B2A-CED1-4486-A5B6-793DE9ACF28E}">
  <cacheSource type="worksheet">
    <worksheetSource ref="A1:S1048576" sheet="로우데이터"/>
  </cacheSource>
  <cacheFields count="19">
    <cacheField name="대분류" numFmtId="0">
      <sharedItems containsBlank="1" count="17">
        <s v="600폭 책장"/>
        <s v="독서실"/>
        <s v="모니터받침대"/>
        <s v="모션데스크"/>
        <s v="보드"/>
        <s v="서랍"/>
        <s v="악세서리"/>
        <s v="의자"/>
        <s v="책상"/>
        <s v="책상세트"/>
        <s v="책장"/>
        <s v="철제선반장"/>
        <s v="테이블"/>
        <s v="파티션/스크린"/>
        <s v="행거"/>
        <s v="S01"/>
        <m/>
      </sharedItems>
    </cacheField>
    <cacheField name="소분류" numFmtId="0">
      <sharedItems containsBlank="1" count="55">
        <s v="깊은수납형"/>
        <s v="서랍형"/>
        <s v="일반형"/>
        <s v="낮은칸막이"/>
        <s v="독서실책상"/>
        <s v="스터디룸"/>
        <s v="고무충"/>
        <s v="모니터받침대"/>
        <s v="스마트"/>
        <s v="알파"/>
        <s v="포레그"/>
        <s v="프리미엄"/>
        <s v="플러스"/>
        <s v="목제보드"/>
        <s v="화이트보드"/>
        <s v="2단슬림서랍"/>
        <s v="3단슬림서랍"/>
        <s v="400폭서랍"/>
        <s v="600폭서랍"/>
        <s v="기타"/>
        <s v="벤치"/>
        <s v="의자"/>
        <s v="노트북"/>
        <s v="멀티데스크"/>
        <s v="멀티테이블"/>
        <s v="베이직"/>
        <s v="스탠딩데스크"/>
        <s v="컴퓨터책상"/>
        <s v="하부가림"/>
        <s v="H형"/>
        <s v="멀티세트"/>
        <s v="모션멀티"/>
        <s v="모션책상세트"/>
        <s v="콘센트형 책상세트"/>
        <s v="목제"/>
        <s v="목제깊은책장"/>
        <s v="철제"/>
        <s v="철제선반장"/>
        <s v="4/6인 테이블"/>
        <s v="550"/>
        <s v="다목적"/>
        <s v="빅테이블"/>
        <s v="소파테이블"/>
        <s v="스탠딩"/>
        <s v="원형"/>
        <s v="의자세트"/>
        <s v="타원형"/>
        <s v="타원형사이드"/>
        <s v="라이트파티션"/>
        <s v="파티션"/>
        <s v="페트3면"/>
        <s v="펠트"/>
        <s v="행거"/>
        <s v="S01"/>
        <m/>
      </sharedItems>
    </cacheField>
    <cacheField name="상품명" numFmtId="0">
      <sharedItems containsBlank="1" count="499">
        <s v="  DSCC465S 600폭 5단 깊은 수납형 책장 하부도어형"/>
        <s v="  DSCC465SS 600폭 5단 깊은 수납형 책장 상하부도어형"/>
        <s v="  DSCC466S 600폭 6단 깊은 수납형 책장 하부도어형"/>
        <s v="  DSCC466SS 600폭 6단 깊은 수납형 책장 상하부도어형"/>
        <s v="  DSCAB0605 600폭 5단 서랍형 목제책장"/>
        <s v="  DSCAB0605S 600폭 5단 서랍형 목제책장 상부도어형"/>
        <s v="  DSCAB0606 600폭 6단 서랍형 목제책장"/>
        <s v="  DSCAB0606S 600폭 6단 서랍형 목제책장 상부도어형"/>
        <s v="  DSCC065N 600폭 5단 책장 오픈형"/>
        <s v="  DSCC065SN 600폭 5단 책장 하부도어형"/>
        <s v="  DSCC065SSN 600폭 5단 책장 상하부도어형"/>
        <s v="  DSCC066 600폭 6단 책장 오픈형"/>
        <s v="  DSCC066S 600폭 6단 책장 하부도어형"/>
        <s v="  DSCC066SS 600폭 6단 책장 상하부도어형"/>
        <s v="  낮은 칸막이 독서실 책상 (멀티데스크 디바이더형) 1400x700mm, 오크"/>
        <s v="  낮은 칸막이 독서실 책상 (멀티데스크 디바이더형) 1400x700mm, 쿨그레이"/>
        <s v="  낮은 칸막이 독서실 책상 (멀티데스크 디바이더형) 1400x700mm, 화이트"/>
        <s v="  낮은 칸막이 독서실 책상 (멀티데스크 디바이더형) 1600x700mm, 오크"/>
        <s v="  낮은 칸막이 독서실 책상 (멀티데스크 디바이더형) 1600x700mm, 화이트"/>
        <s v="  낮은 칸막이 독서실 책상 (멀티데스크 디바이더형) 1600x800mm, 오크"/>
        <s v="  낮은 칸막이 독서실 책상 (멀티데스크 디바이더형) 1600x800mm, 쿨그레이"/>
        <s v="  낮은 칸막이 독서실 책상 (멀티데스크 디바이더형) 1600x800mm, 화이트"/>
        <s v="  낮은 칸막이 독서실 책상 (멀티데스크 디바이더형) 1800x800mm, 오크"/>
        <s v="  낮은 칸막이 독서실 책상 (멀티데스크 디바이더형) 1800x800mm, 쿨그레이"/>
        <s v="  낮은 칸막이 독서실 책상 (멀티데스크 디바이더형) 1800x800mm, 화이트"/>
        <s v="  800x600 독서실 책상(기본형) DSDAB0806"/>
        <s v="  800x600 독서실 책상(기본형)+아이블 의자 DSDAB0801J"/>
        <s v="  800x600 독서실 책상(조명,펠트형) DSDAB0806EG"/>
        <s v="  800x600 독서실 책상(조명,펠트형)+아이블 의자 DSDAB0801EGJ"/>
        <s v="  800x600 독서실 책상(조명형) DSDAB0806G"/>
        <s v="  800x600 독서실 책상(조명형)+아이블 의자 DSDAB0801GJ"/>
        <s v="  스터디룸 독서실 책상 (후면차단형) DSFEA1601J 1000x590mm, 화이트+베이지"/>
        <s v="  1000폭 고속 무선 충전 USB 허브 모니터 받침대 2.0 (서랍형) DSABPA10001"/>
        <s v="  600폭 고속 무선 충전 USB 허브 모니터 받침대 2.0 DSABPA06001"/>
        <s v="  1000폭 모니터 받침대 (수납형) DSAA0303"/>
        <s v="  600폭 모니터 받침대 (수납형) DSAA0302"/>
        <s v="  600폭 모니터 받침대(기본형) DSAA0301"/>
        <s v="  모션데스크 스마트 1200x600mm, 라이트오크"/>
        <s v="  모션데스크 스마트 1200x600mm, 화이트"/>
        <s v="  모션데스크 스마트 1400x600mm, 라이트오크"/>
        <s v="  모션데스크 스마트 1400x600mm, 화이트"/>
        <s v="  모션데스크 스마트 1600x600mm, 라이트오크"/>
        <s v="  모션데스크 스마트 1600x600mm, 화이트"/>
        <s v="  모션데스크 알파 1190x700, 메이플+블랙"/>
        <s v="  모션데스크 알파 1190x700, 메이플+화이트"/>
        <s v="  모션데스크 알파 1190x700, 모던아카시아"/>
        <s v="  모션데스크 알파 1190x700, 빈티지블랙"/>
        <s v="  모션데스크 알파 1190x700, 화이트"/>
        <s v="  모션데스크 알파 1390x700, 메이플+화이트"/>
        <s v="  모션데스크 알파 1390x700, 모던아카시아"/>
        <s v="  모션데스크 알파 1390x700, 빈티지블랙"/>
        <s v="  모션데스크 알파 1390x700, 화이트"/>
        <s v="  모션데스크 알파 1590x700, 메이플+화이트"/>
        <s v="  모션데스크 알파 1590x700, 빈티지블랙"/>
        <s v="  모션데스크 알파 1590x700, 화이트"/>
        <s v="  모션데스크 알파 1790x700, 메이플+블랙"/>
        <s v="  모션데스크 알파 1790x700, 메이플+화이트"/>
        <s v="  모션데스크 알파 1790x700, 모던아카시아"/>
        <s v="  모션데스크 알파 1790x700, 빈티지블랙"/>
        <s v="  모션데스크 알파 1790x700, 화이트"/>
        <s v="  모션데스크 알파 이동형 1190x700, 메이플+블랙"/>
        <s v="  모션데스크 알파 이동형 1190x700, 모던아카시아"/>
        <s v="  모션데스크 알파 이동형 1190x700, 빈티지블랙"/>
        <s v="  모션데스크 알파 이동형 1190x700, 화이트"/>
        <s v="  모션데스크 알파 이동형 1390x700, 메이플+화이트"/>
        <s v="  모션데스크 알파 이동형 1390x700, 모던아카시아"/>
        <s v="  모션데스크 알파 이동형 1390x700, 화이트"/>
        <s v="  모션데스크 알파 이동형 1590x700, 메이플+블랙"/>
        <s v="  모션데스크 알파 이동형 1590x700, 메이플+화이트"/>
        <s v="  모션데스크 알파 이동형 1590x700, 빈티지블랙"/>
        <s v="  모션데스크 알파 이동형 1590x700, 화이트"/>
        <s v="  모션데스크 알파 이동형 1790x700, 메이플+화이트"/>
        <s v="  모션데스크 알파 이동형 1790x700, 모던아카시아"/>
        <s v="  모션데스크 알파 이동형 1790x700, 빈티지블랙"/>
        <s v="  모션데스크 알파 이동형 1790x700, 화이트"/>
        <s v="  모션데스크 포레그 DSDGM1810E 1800x960mm, 화이트"/>
        <s v="  모션테이블 포레그 DSDGM1810 1800x960mm, 빈티지블랙"/>
        <s v="  모션테이블 포레그 DSDGM1810 1800x960mm, 화이트"/>
        <s v="  모션데스크 프리미엄 (깊이 700) 1400x700mm, 메이플"/>
        <s v="  모션데스크 프리미엄 (깊이 700) 1400x700mm, 모던아카시아"/>
        <s v="  모션데스크 프리미엄 (깊이 700) 1400x700mm, 빈티지블랙"/>
        <s v="  모션데스크 프리미엄 (깊이 700) 1400x700mm, 화이트"/>
        <s v="  모션데스크 프리미엄 (깊이 700) 1600x700mm, 메이플"/>
        <s v="  모션데스크 프리미엄 (깊이 700) 1600x700mm, 모던아카시아"/>
        <s v="  모션데스크 프리미엄 (깊이 700) 1600x700mm, 빈티지블랙"/>
        <s v="  모션데스크 프리미엄 (깊이 700) 1600x700mm, 화이트"/>
        <s v="  모션데스크 프리미엄 (깊이 700) 1800x700mm, 메이플"/>
        <s v="  모션데스크 프리미엄 (깊이 700) 1800x700mm, 모던아카시아"/>
        <s v="  모션데스크 프리미엄 (깊이 700) 1800x700mm, 빈티지블랙"/>
        <s v="  모션데스크 프리미엄 (깊이 700) 1800x700mm, 화이트"/>
        <s v="  모션데스크 프리미엄 (깊이 800) 1400x800mm, 메이플"/>
        <s v="  모션데스크 프리미엄 (깊이 800) 1400x800mm, 모던아카시아"/>
        <s v="  모션데스크 프리미엄 (깊이 800) 1400x800mm, 빈티지블랙"/>
        <s v="  모션데스크 프리미엄 (깊이 800) 1400x800mm, 화이트"/>
        <s v="  모션데스크 프리미엄 (깊이 800) 1600x800mm, 메이플"/>
        <s v="  모션데스크 프리미엄 (깊이 800) 1600x800mm, 모던아카시아"/>
        <s v="  모션데스크 프리미엄 (깊이 800) 1600x800mm, 빈티지블랙"/>
        <s v="  모션데스크 프리미엄 (깊이 800) 1600x800mm, 화이트"/>
        <s v="  모션데스크 프리미엄 (깊이 800) 1800x800mm, 메이플"/>
        <s v="  모션데스크 프리미엄 (깊이 800) 1800x800mm, 모던아카시아"/>
        <s v="  모션데스크 프리미엄 (깊이 800) 1800x800mm, 빈티지블랙"/>
        <s v="  모션데스크 프리미엄 (깊이 800) 1800x800mm, 화이트"/>
        <s v="  모션데스크 프리미엄 조명형 (깊이 700) 1400x700mm, 메이플"/>
        <s v="  모션데스크 프리미엄 조명형 (깊이 700) 1400x700mm, 모던아카시아"/>
        <s v="  모션데스크 프리미엄 조명형 (깊이 700) 1400x700mm, 화이트"/>
        <s v="  모션데스크 프리미엄 조명형 (깊이 700) 1600x700mm, 메이플"/>
        <s v="  모션데스크 프리미엄 조명형 (깊이 700) 1600x700mm, 모던아카시아"/>
        <s v="  모션데스크 프리미엄 조명형 (깊이 700) 1600x700mm, 빈티지블랙"/>
        <s v="  모션데스크 프리미엄 조명형 (깊이 700) 1800x700mm, 메이플"/>
        <s v="  모션데스크 프리미엄 조명형 (깊이 800) 1400X800mm, 메이플"/>
        <s v="  모션데스크 프리미엄 조명형 (깊이 800) 1600X800mm, 메이플"/>
        <s v="  모션데스크 프리미엄 조명형 (깊이 800) 1600X800mm, 모던아카시아"/>
        <s v="  모션데스크 프리미엄 조명형 (깊이 800) 1600X800mm, 빈티지블랙"/>
        <s v="  모션데스크 프리미엄 조명형 (깊이 800) 1600X800mm, 화이트"/>
        <s v="  모션데스크 프리미엄 조명형 (깊이 800) 1800X800mm, 메이플"/>
        <s v="  모션데스크 프리미엄 조명형 (깊이 800) 1800X800mm, 모던아카시아"/>
        <s v="  모션데스크 프리미엄 조명형 (깊이 800) 1800X800mm, 빈티지블랙"/>
        <s v="  모션데스크 프리미엄 조명형 (깊이 800) 1800X800mm, 화이트"/>
        <s v="  모션데스크 플러스 1200x700mm, 메이플"/>
        <s v="  모션데스크 플러스 1200x700mm, 모던아카시아"/>
        <s v="  모션데스크 플러스 1200x700mm, 블랙"/>
        <s v="  모션데스크 플러스 1200x700mm, 화이트"/>
        <s v="  모션데스크 플러스 1400x700mm, 메이플"/>
        <s v="  모션데스크 플러스 1400x700mm, 모던아카시아"/>
        <s v="  모션데스크 플러스 1400x700mm, 블랙"/>
        <s v="  모션데스크 플러스 1400x700mm, 화이트"/>
        <s v="  모션데스크 플러스 1600x700mm, 메이플"/>
        <s v="  모션데스크 플러스 1600x700mm, 모던아카시아"/>
        <s v="  모션데스크 플러스 1600x700mm, 블랙"/>
        <s v="  모션데스크 플러스 1600x700mm, 화이트"/>
        <s v="  모션데스크 플러스 이동형 1200x700mm, 메이플"/>
        <s v="  모션데스크 플러스 이동형 1200x700mm, 모던아카시아"/>
        <s v="  모션데스크 플러스 이동형 1200x700mm, 블랙"/>
        <s v="  모션데스크 플러스 이동형 1200x700mm, 화이트"/>
        <s v="  모션데스크 플러스 이동형 1400x700mm, 메이플"/>
        <s v="  모션데스크 플러스 이동형 1400x700mm, 모던아카시아"/>
        <s v="  모션데스크 플러스 이동형 1400x700mm, 블랙"/>
        <s v="  모션데스크 플러스 이동형 1400x700mm, 화이트"/>
        <s v="  모션데스크 플러스 이동형 1600x700mm, 모던아카시아"/>
        <s v="  모션데스크 플러스 이동형 1600x700mm, 블랙"/>
        <s v="  모션데스크 플러스 이동형 1600x700mm, 화이트"/>
        <s v="  1100폭 목제보드 DSBAA1117M"/>
        <s v="  800폭 목제보드 DSBAA0817M"/>
        <s v="  1100폭 양면 화이트보드 (이동형) DSBAB1117M"/>
        <s v="  800폭 양면 화이트보드 (이동형) DSBAB0817M"/>
        <s v="  W290 2단 슬림서랍(상단수납형) DSPBAY0302A"/>
        <s v="  3단 슬림서랍 (글라이드,잠금장치형) DVDSAP2303A"/>
        <s v="  3단 슬림서랍 DVDSAP1303"/>
        <s v="  400폭 서랍 (1단 수납,잠금장치형) DSPAEY0401A"/>
        <s v="  400폭 서랍 (3단 수납,잠금장치형) DSPAAY0403A"/>
        <s v="  600폭 3단 서랍 DSPAAE0603"/>
        <s v="[ ] PC 홀더"/>
        <s v="  1200폭 책상장 상부도어"/>
        <s v="  1400폭 책상장 상부도어"/>
        <s v="  600폭 목제책장 전용 액세서리 (상부도어/하부도어)"/>
        <s v="  900폭 스탠딩 데스크 (키보드트레이) DSBD509A"/>
        <s v="  가방걸이 DSAA0201"/>
        <s v="  데스크 암패드 DSADAA0800"/>
        <s v="  데스크매트 DSABAA0804"/>
        <s v="  데스크정리함 DSAF1007S"/>
        <s v="  디스플레이 랙 DSAFAA0802"/>
        <s v="  마그넷 바 DSAFAA0800"/>
        <s v="  멀티 북스탠드 DSACBA0300"/>
        <s v="  멀티 오거나이저 DSACBA0201"/>
        <s v="  멀티데스크 가방걸이 DSAGAA0101"/>
        <s v="  멀티데스크 수직배선커버 DSAGBA0500"/>
        <s v="  멀티북엔드 DSAEAA0201"/>
        <s v="  멀티탭+클램프 세트 DSABP0200"/>
        <s v="  모션데스크 수직배선커버 (2컬럼용) DSAFMA0601 블랙"/>
        <s v="  모션데스크 수직배선커버 DSAFMA06011 2컬럼용, 화이트"/>
        <s v="  모션데스크 수직배선커버(3컬럼용) 블랙"/>
        <s v="  모션데스크 수직배선커버(3컬럼용) 화이트"/>
        <s v="  모션데스크/모션테이블 포레그 수직배선커버 빈티지블랙"/>
        <s v="  모션데스크/모션테이블 포레그 수직배선커버 화이트"/>
        <s v="  미니서랍 DSCDAE0202"/>
        <s v="  스크린 악세서리 이동형 수납 선반 DSAF0101A"/>
        <s v="  스태킹 오거나이저 DSACBA0301"/>
        <s v="  싱글 모니터암 DSAEAA0501"/>
        <s v="  양면 자석보드 DSFCBA0302"/>
        <s v="  양면 펜트레이 DSAEBA0301"/>
        <s v="  인서트 공간박스 DSAC0101A"/>
        <s v="  케이블 홀더 2ea DSAFBA0002"/>
        <s v="  툴박스 DSACBA0202"/>
        <s v="  패브릭 수납박스 DSAAA0302"/>
        <s v="  페이퍼트레이 DSACAA0301"/>
        <s v=" X스노우맨 조명 DSAFEA0202G"/>
        <s v="  2인용 벤치 DSCS112"/>
        <s v="  3인용 벤치 DSCS113"/>
        <s v="  롤리 의자 DHM1101EY1 화이트"/>
        <s v="  스푼 의자 M08 시리즈 우든체어 DHM301E1"/>
        <s v="  스푼 의자 M08 시리즈 인조가죽 DHM303E1"/>
        <s v="  스푼 의자 M08 시리즈 패브릭 DHM302E1"/>
        <s v="  시디즈 링고 의자"/>
        <s v="  아웃라인 의자 DHM1491"/>
        <s v="  올라운드 체어 의자"/>
        <s v="  D01 의자 DHM154 라이트블루"/>
        <s v="  D01 의자 DHM154 블랙"/>
        <s v="  D01 의자 DHM154 화이트"/>
        <s v="  노트북 책상 1000x600mm, 메이플"/>
        <s v="  노트북 책상 1000x600mm, 빈티지블랙"/>
        <s v="  노트북 책상 1000x600mm, 화이트"/>
        <s v="  노트북 책상 1200x600mm, 라이트오크"/>
        <s v="  노트북 책상 1200x600mm, 메이플"/>
        <s v="  노트북 책상 1200x600mm, 빈티지블랙"/>
        <s v="  노트북 책상 1200x600mm, 화이트"/>
        <s v="  노트북 책상 1400x600mm, 라이트오크"/>
        <s v="  노트북 책상 1400x600mm, 화이트"/>
        <s v="  멀티데스크 1400x700mm, 오크"/>
        <s v="  멀티데스크 1400x700mm, 쿨그레이"/>
        <s v="  멀티데스크 1400x700mm, 화이트"/>
        <s v="  멀티데스크 1600x700mm, 오크"/>
        <s v="  멀티데스크 1600x700mm, 쿨그레이"/>
        <s v="  멀티데스크 1600x700mm, 화이트"/>
        <s v="  멀티데스크 1600x800mm, 오크"/>
        <s v="  멀티데스크 1600x800mm, 쿨그레이"/>
        <s v="  멀티데스크 1600x800mm, 화이트"/>
        <s v="  멀티데스크 1800x800mm, 오크"/>
        <s v="  멀티데스크 1800x800mm, 쿨그레이"/>
        <s v="  멀티데스크 1800x800mm, 화이트"/>
        <s v="  멀티테이블 1600x800mm, 오크"/>
        <s v="  멀티테이블 1600x800mm, 쿨그레이"/>
        <s v="  멀티테이블 1600x800mm, 화이트"/>
        <s v="  멀티테이블 1800x800mm, 오크"/>
        <s v="  멀티테이블 1800x800mm, 쿨그레이"/>
        <s v="  멀티테이블 1800x800mm, 화이트"/>
        <s v="  1200x590 베이직데스크 (1200폭, 이동형) DSDHA1206M"/>
        <s v="  1400x700 베이직데스크 (1400폭, 이동형) DSDHA1407M"/>
        <s v="  1600x800 베이직데스크 (1600폭, 이동형) DSDHA1608M"/>
        <s v="  베이직 책상 (너비 1400/1600) 1400x600mm, 메이플+빈티지블랙"/>
        <s v="  베이직 책상 (너비 1400/1600) 1400x600mm, 메이플+화이트"/>
        <s v="  베이직 책상 (너비 1400/1600) 1400x600mm, 모던아카시아"/>
        <s v="  베이직 책상 (너비 1400/1600) 1400x600mm, 빈티지블랙"/>
        <s v="  베이직 책상 (너비 1400/1600) 1400x600mm, 화이트"/>
        <s v="  베이직 책상 (너비 1400/1600) 1400x800mm, 메이플+빈티지블랙"/>
        <s v="  베이직 책상 (너비 1400/1600) 1400x800mm, 메이플+화이트"/>
        <s v="  베이직 책상 (너비 1400/1600) 1400x800mm, 모던아카시아"/>
        <s v="  베이직 책상 (너비 1400/1600) 1400x800mm, 빈티지블랙"/>
        <s v="  베이직 책상 (너비 1400/1600) 1400x800mm, 화이트"/>
        <s v="  베이직 책상 (너비 1400/1600) 1600x800mm, 메이플+빈티지블랙"/>
        <s v="  베이직 책상 (너비 1400/1600) 1600x800mm, 메이플+화이트"/>
        <s v="  베이직 책상 (너비 1400/1600) 1600x800mm, 모던아카시아"/>
        <s v="  베이직 책상 (너비 1400/1600) 1600x800mm, 빈티지블랙"/>
        <s v="  베이직 책상 (너비 1400/1600) 1600x800mm, 화이트"/>
        <s v="  베이직 책상 (너비 800/1000/1200) 1000x400mm, 메이플+빈티지블랙"/>
        <s v="  베이직 책상 (너비 800/1000/1200) 1000x400mm, 메이플+화이트"/>
        <s v="  베이직 책상 (너비 800/1000/1200) 1000x400mm, 모던아카시아"/>
        <s v="  베이직 책상 (너비 800/1000/1200) 1000x400mm, 빈티지블랙"/>
        <s v="  베이직 책상 (너비 800/1000/1200) 1000x400mm, 화이트"/>
        <s v="  베이직 책상 (너비 800/1000/1200) 1200x600mm, 메이플+빈티지블랙"/>
        <s v="  베이직 책상 (너비 800/1000/1200) 1200x600mm, 메이플+화이트"/>
        <s v="  베이직 책상 (너비 800/1000/1200) 1200x600mm, 모던아카시아"/>
        <s v="  베이직 책상 (너비 800/1000/1200) 1200x600mm, 빈티지블랙"/>
        <s v="  베이직 책상 (너비 800/1000/1200) 1200x600mm, 화이트"/>
        <s v="  베이직 책상 (너비 800/1000/1200) 1200x800mm, 메이플+빈티지블랙"/>
        <s v="  베이직 책상 (너비 800/1000/1200) 1200x800mm, 메이플+화이트"/>
        <s v="  베이직 책상 (너비 800/1000/1200) 1200x800mm, 모던아카시아"/>
        <s v="  베이직 책상 (너비 800/1000/1200) 1200x800mm, 빈티지블랙"/>
        <s v="  베이직 책상 (너비 800/1000/1200) 1200x800mm, 화이트"/>
        <s v="  베이직 책상 (너비 800/1000/1200) 800x600mm, 메이플+빈티지블랙"/>
        <s v="  베이직 책상 (너비 800/1000/1200) 800x600mm, 메이플+화이트"/>
        <s v="  베이직 책상 (너비 800/1000/1200) 800x600mm, 모던아카시아"/>
        <s v="  베이직 책상 (너비 800/1000/1200) 800x600mm, 빈티지블랙"/>
        <s v="  베이직 책상 (너비 800/1000/1200) 800x600mm, 화이트"/>
        <s v="  스탠딩데스크 강연대형(옵션포함) DSBD406A"/>
        <s v="  1200x600 컴퓨터 책상 2.0 DSDBB1206"/>
        <s v="  1200x700 컴퓨터 책상 2.0 DSDBB1207"/>
        <s v="  1200x700 컴퓨터 책상 DSAD112D"/>
        <s v="  1400x700 컴퓨터 책상 2.0 DSDBB1407"/>
        <s v="  1400x800 컴퓨터 책상 2.0 DSDBB1408"/>
        <s v="  1600x700 컴퓨터 책상 2.0 DSDBB1607"/>
        <s v="  1600x800 컴퓨터 책상 2.0 DSDBB1608"/>
        <s v="  1800x700 컴퓨터 책상 DSAD118D"/>
        <s v="  1800x800 컴퓨터 책상 2.0 DSDBB1808"/>
        <s v="  하부가림판 책상 2.0 1200x700mm, 메이플"/>
        <s v="  하부가림판 책상 2.0 1200x700mm, 모던아카시아"/>
        <s v="  하부가림판 책상 2.0 1200x700mm, 화이트"/>
        <s v="  하부가림판 책상 2.0 1400x700mm, 메이플"/>
        <s v="  하부가림판 책상 2.0 1400x700mm, 빈티지블랙"/>
        <s v="  하부가림판 책상 2.0 1400x700mm, 화이트"/>
        <s v="  하부가림판 책상 2.0 1600x700mm, 모던아카시아"/>
        <s v="  하부가림판 책상 2.0 1600x700mm, 빈티지블랙"/>
        <s v="  하부가림판 책상 2.0 1600x700mm, 화이트"/>
        <s v="  하부가림판 책상 2.0 1800x800mm, 메이플"/>
        <s v="  하부가림판 책상 2.0 1800x800mm, 빈티지블랙"/>
        <s v="  하부가림판 책상 2.0 1800x800mm, 화이트"/>
        <s v="  1200폭 5단 H형 기본형 책상(상부도어형) DSCJ065S"/>
        <s v="  1200폭 5단 H형 기본형 책상(오픈형) DSCJ065"/>
        <s v="  1200폭 5단 H형 콘센트형 책상(상부도어형) DSCJ165S"/>
        <s v="  1200폭 5단 H형 콘센트형 책상(오픈형) DSCJ165"/>
        <s v="  1400폭 5단 멀티책상세트 (조명+도어형) + 링고/올라운드/아이블 의자"/>
        <s v="  1400폭 5단 멀티책상세트 (조명+도어형) DSDEA1401J"/>
        <s v="  1400폭 6단 멀티책상세트 (조명+도어형) + 링고/올라운드/아이블 의자"/>
        <s v="  1400폭 6단 멀티책상세트 (조명+도어형) DSDEA1402J"/>
        <s v="  1600폭 5단 멀티책상세트 (조명+도어형) + 링고/올라운드/아이블 의자"/>
        <s v="  1600폭 5단 멀티책상세트 (조명+도어형) DSDEA1601J"/>
        <s v="  1600폭 6단 멀티책상세트 (조명+도어형) + 링고/올라운드/아이블 의자"/>
        <s v="  1600폭 6단 멀티책상세트 (조명+도어형) DSDEA1602J"/>
        <s v="  1400폭 5단 모션 멀티책상세트 (조명+도어형) + 링고/올라운드/아이블 의자"/>
        <s v="  1400폭 5단 모션 멀티책상세트(조명+도어형) DSDEM1401J"/>
        <s v="  1400폭 6단 모션 멀티책상세트 (조명+도어형) + 링고/올라운드/아이블 의자"/>
        <s v="  1400폭 6단 모션 멀티책상세트(조명+도어형) DSDEM1402J"/>
        <s v="  1600폭 5단 모션 멀티책상세트 (조명+도어형) + 링고/올라운드/아이블 의자"/>
        <s v="  1600폭 5단 모션 멀티책상세트(조명+도어형) DSDEM1601J"/>
        <s v="  1600폭 6단 모션 멀티책상세트 (조명+도어형) + 링고/올라운드/아이블 의자"/>
        <s v="  1600폭 6단 모션 멀티책상세트(조명+도어형) DSDEM1602J"/>
        <s v="  1200폭 5단 모션 책상세트 (조명,도어)"/>
        <s v="  1200폭 5단 모션 책상세트 (조명+도어형) + 링고/올라운드/아이블 의자"/>
        <s v="  1200폭 6단 모션 책상세트 (조명,도어) DSDCM1202J"/>
        <s v="  1200폭 6단 모션 책상세트 (조명+도어형) + 링고/올라운드/아이블 의자"/>
        <s v="  1400폭 5단 모션 책상세트 (조명,도어)"/>
        <s v="  1400폭 5단 모션 책상세트 (조명+도어형) + 링고/올라운드/아이블 의자"/>
        <s v="  1400폭 6단 모션 책상세트 (조명,도어)"/>
        <s v="  1400폭 6단 모션 책상세트 (조명+도어형) + 링고/올라운드/아이블 의자"/>
        <s v="1400폭 5단 책상세트 (콘센트형,조명+도어형) + 링고/올라운드/아이블 의자"/>
        <s v="  1200폭 5단 책상세트 (콘센트형, 조명+도어형) DSCJ125ALSN"/>
        <s v="  1200폭 5단 책상세트 (콘센트형,조명+도어형) + 링고/올라운드/아이블 의자"/>
        <s v="  1200폭 6단 책상세트 (콘센트형, 조명+도어형) DSCJ126ALS"/>
        <s v="  1200폭 6단 책상세트 (콘센트형,조명+도어형) + 링고/올라운드/아이블 의자"/>
        <s v="  1400폭 5단 책상세트 (콘센트형, 조명+도어형) DSCJ145ALS"/>
        <s v="  1400폭 6단 책상세트 (콘센트형,조명+도어형) + 링고/올라운드/아이블 의자"/>
        <s v="  1400폭 6단 책상세트(콘센트형, 조명+도어형) DSCJ146ALS"/>
        <s v="  1600폭 목제책장 수납형 1600X311X1062mm, 3단, 모던아카시아"/>
        <s v="  1600폭 목제책장 수납형 1600X311X1062mm, 3단, 빈티지블랙"/>
        <s v="  1600폭 목제책장 수납형 1600X311X1062mm, 3단, 화이트"/>
        <s v="  1600폭 목제책장 수납형 1600X311X723mm, 2단, 모던아카시아"/>
        <s v="  1600폭 목제책장 수납형 1600X311X723mm, 2단, 빈티지블랙"/>
        <s v="  1600폭 목제책장 수납형 1600X311X723mm, 2단, 화이트"/>
        <s v="  1600폭 목제책장 오픈형 1600X289X1058.5mm, 3단, 메이플+빈티지블랙"/>
        <s v="  1600폭 목제책장 오픈형 1600X289X1058.5mm, 3단, 메이플+화이트"/>
        <s v="  1600폭 목제책장 오픈형 1600X289X1058.5mm, 3단, 빈티지블랙"/>
        <s v="  1600폭 목제책장 오픈형 1600X289X1058.5mm, 3단, 화이트"/>
        <s v="  1600폭 목제책장 오픈형 1600X289X720mm, 2단, 메이플+빈티지블랙"/>
        <s v="  1600폭 목제책장 오픈형 1600X289X720mm, 2단, 메이플+화이트"/>
        <s v="  1600폭 목제책장 오픈형 1600X289X720mm, 2단, 모던아카시아"/>
        <s v="  1600폭 목제책장 오픈형 1600X289X720mm, 2단, 모던아카시아+빈티지블랙"/>
        <s v="  1600폭 목제책장 오픈형 1600X289X720mm, 2단, 빈티지블랙"/>
        <s v="  1600폭 목제책장 오픈형 1600X289X720mm, 2단, 화이트"/>
        <s v="  800폭 목제책장 수납형 800X311X723mm, 2단, 빈티지블랙"/>
        <s v="  800폭 목제책장 수납형 800X311X723mm, 2단, 화이트"/>
        <s v="  800폭 목제책장 오픈형 800x290x1059mm, 3단, 메이플+빈티지블랙"/>
        <s v="  800폭 목제책장 오픈형 800x290x1059mm, 3단, 메이플+화이트"/>
        <s v="  800폭 목제책장 오픈형 800x290x1059mm, 3단, 모던아카시아"/>
        <s v="  800폭 목제책장 오픈형 800x290x1059mm, 3단, 모던아카시아+빈티지블랙"/>
        <s v="  800폭 목제책장 오픈형 800x290x1059mm, 3단, 빈티지블랙"/>
        <s v="  800폭 목제책장 오픈형 800x290x1059mm, 3단, 화이트"/>
        <s v="  800폭 목제책장 오픈형 800x290x1735.5mm, 5단, 메이플+빈티지블랙"/>
        <s v="  800폭 목제책장 오픈형 800x290x1735.5mm, 5단, 메이플+화이트"/>
        <s v="  800폭 목제책장 오픈형 800x290x1735.5mm, 5단, 모던아카시아+빈티지블랙"/>
        <s v="  800폭 목제책장 오픈형 800x290x1735.5mm, 5단, 빈티지블랙"/>
        <s v="  800폭 목제책장 오픈형 800x290x1735.5mm, 5단, 화이트"/>
        <s v="  800폭 목제책장 오픈형 800x290x720mm, 2단, 메이플+화이트"/>
        <s v="  800폭 목제책장 오픈형 800x290x720mm, 2단, 모던아카시아"/>
        <s v="  800폭 목제책장 오픈형 800x290x720mm, 2단, 모던아카시아+빈티지블랙"/>
        <s v="  800폭 목제책장 오픈형 800x290x720mm, 2단, 빈티지블랙"/>
        <s v="  800폭 목제책장 오픈형 800x290x720mm, 2단, 화이트"/>
        <s v="  800폭 3단 수납형 목제깊은수납장 도어형 DSCB0835A 800x411x1738mm, 5단, 빈티지블랙"/>
        <s v="  800폭 3단 수납형 목제깊은수납장 도어형 DSCB0835A 800x411x1738mm, 5단, 화이트"/>
        <s v="  800폭 3단 수납형 목제깊은책장 잠금장치 포함 DSBC483SA 빈티지블랙"/>
        <s v="  800폭 3단 수납형 목제깊은책장 잠금장치 포함 DSBC483SA 화이트"/>
        <s v="  800폭 5단 수납형 깊은 목제책장 도어형 DSCB0855A 모던아카시아"/>
        <s v="  800폭 5단 수납형 깊은 목제책장 도어형 DSCB0855A 빈티지블랙"/>
        <s v="  800폭 5단 수납형 깊은 목제책장 도어형 DSCB0855A 화이트"/>
        <s v="  800폭 깊은 목제책장 오픈형 800x390x1058.5, 3단, 메이플+화이트"/>
        <s v="  800폭 깊은 목제책장 오픈형 800x390x1058.5, 3단, 모던아카시아"/>
        <s v="  800폭 깊은 목제책장 오픈형 800x390x1058.5, 3단, 빈티지블랙"/>
        <s v="  800폭 깊은 목제책장 오픈형 800x390x1058.5, 3단, 화이트"/>
        <s v="  800폭 깊은 목제책장 오픈형 800x390x1735.5, 5단, 메이플+화이트"/>
        <s v="  800폭 깊은 목제책장 오픈형 800x390x1735.5, 5단, 모던아카시아"/>
        <s v="  800폭 깊은 목제책장 오픈형 800x390x1735.5, 5단, 모던아카시아+빈티지블랙"/>
        <s v="  800폭 깊은 목제책장 오픈형 800x390x1735.5, 5단, 화이트"/>
        <s v="  1200폭 철제책장 수납형 1200x1061x320mm, 3단, 메이플+화이트"/>
        <s v="  1200폭 철제책장 수납형 1200x1061x320mm, 3단, 빈티지블랙"/>
        <s v="  1200폭 철제책장 수납형 1200x1061x320mm, 3단, 화이트"/>
        <s v="  1200폭 철제책장 수납형 1200x1738x320mm, 5단, 메이플+화이트"/>
        <s v="  1200폭 철제책장 수납형 1200x1738x320mm, 5단, 모던아카시아+빈티지블랙"/>
        <s v="  1200폭 철제책장 수납형 1200x1738x320mm, 5단, 빈티지블랙"/>
        <s v="  1200폭 철제책장 수납형 1200x1738x320mm, 5단, 화이트"/>
        <s v="  1200폭 철제책장 오픈형 1200x1061x320mm, 3단, 메이플+빈티지블랙"/>
        <s v="  1200폭 철제책장 오픈형 1200x1061x320mm, 3단, 메이플+화이트"/>
        <s v="  1200폭 철제책장 오픈형 1200x1061x320mm, 3단, 모던아카시아+빈티지블랙"/>
        <s v="  1200폭 철제책장 오픈형 1200x1061x320mm, 3단, 빈티지블랙"/>
        <s v="  1200폭 철제책장 오픈형 1200x1061x320mm, 3단, 화이트"/>
        <s v="  1200폭 철제책장 오픈형 1200x1738x320mm, 5단, 메이플+화이트"/>
        <s v="  1200폭 철제책장 오픈형 1200x1738x320mm, 5단, 모던아카시아+빈티지블랙"/>
        <s v="  1200폭 철제책장 오픈형 1200x1738x320mm, 5단, 빈티지블랙"/>
        <s v="  1200폭 철제책장 오픈형 1200x1738x320mm, 5단, 화이트"/>
        <s v="  800폭 철제책장 수납형 800x1061x320mm, 3단, 메이플+빈티지블랙"/>
        <s v="  800폭 철제책장 수납형 800x1061x320mm, 3단, 메이플+화이트"/>
        <s v="  800폭 철제책장 수납형 800x1061x320mm, 3단, 모던아카시아+빈티지블랙"/>
        <s v="  800폭 철제책장 수납형 800x1061x320mm, 3단, 빈티지블랙"/>
        <s v="  800폭 철제책장 수납형 800x1061x320mm, 3단, 화이트"/>
        <s v="  800폭 철제책장 수납형 800x1738x320mm, 5단, 메이플+빈티지블랙"/>
        <s v="  800폭 철제책장 수납형 800x1738x320mm, 5단, 메이플+화이트"/>
        <s v="  800폭 철제책장 수납형 800x1738x320mm, 5단, 모던아카시아+빈티지블랙"/>
        <s v="  800폭 철제책장 수납형 800x1738x320mm, 5단, 빈티지블랙"/>
        <s v="  800폭 철제책장 수납형 800x1738x320mm, 5단, 화이트"/>
        <s v="  800폭 철제책장 수납형(잠금장치형) 800x1061x320mm, 3단, 메이플+화이트"/>
        <s v="  800폭 철제책장 수납형(잠금장치형) 800x1061x320mm, 3단, 빈티지블랙"/>
        <s v="  800폭 철제책장 수납형(잠금장치형) 800x1061x320mm, 3단, 화이트"/>
        <s v="  800폭 철제책장 수납형(잠금장치형) 800x1738x320mm, 5단, 메이플+화이트"/>
        <s v="  800폭 철제책장 수납형(잠금장치형) 800x1738x320mm, 5단, 빈티지블랙"/>
        <s v="  800폭 철제책장 수납형(잠금장치형) 800x1738x320mm, 5단, 화이트"/>
        <s v="  800폭 철제책장 오픈형 800x1061x320mm, 3단, 메이플+화이트"/>
        <s v="  800폭 철제책장 오픈형 800x1061x320mm, 3단, 모던아카시아+빈티지블랙"/>
        <s v="  800폭 철제책장 오픈형 800x1061x320mm, 3단, 빈티지블랙"/>
        <s v="  800폭 철제책장 오픈형 800x1061x320mm, 3단, 화이트"/>
        <s v="  800폭 철제책장 오픈형 800x1738x320mm, 5단, 메이플+화이트"/>
        <s v="  800폭 철제책장 오픈형 800x1738x320mm, 5단, 모던아카시아+빈티지블랙"/>
        <s v="  800폭 철제책장 오픈형 800x1738x320mm, 5단, 빈티지블랙"/>
        <s v="  800폭 철제책장 오픈형 800x1738x320mm, 5단, 화이트"/>
        <s v="  800폭 3단 스틸 철제선반장 (1단도어, 조명) DSCDB0803L"/>
        <s v="  800폭 3단 스틸 철제선반장 (1단도어) DSCDA0803L"/>
        <s v="  800폭 3단 스틸 철제선반장 (2단도어, 조명) DSCDB0803H"/>
        <s v="  800폭 3단 스틸 철제선반장 (2단도어) DSCDA0803H"/>
        <s v="  800폭 4단 스틸 철제선반장(1단 도어, 조명) DSCDB0804L"/>
        <s v="  800폭 4단 스틸 철제선반장(1단 도어) DSCDA0804L"/>
        <s v="  800폭 4단 스틸 철제선반장(2단 도어, 조명) DSCDB0804H"/>
        <s v="  800폭 4단 스틸 철제선반장(2단 도어) DSCDA0804H"/>
        <s v="  800폭 5단 스틸 철제선반장(1단 도어, 조명) DSCDB0805L"/>
        <s v="  800폭 5단 스틸 철제선반장(1단 도어) DSCDA0805L"/>
        <s v="  800폭 5단 스틸 철제선반장(2단 도어, 조명) DSCDB0805H"/>
        <s v="  800폭 5단 스틸 철제선반장(2단 도어) DSCDA0805H"/>
        <s v="  4인 6인 테이블 기본형 1400mm, 화이트"/>
        <s v="  4인 6인 테이블 기본형 1900mm, 메이플+빈티지블랙"/>
        <s v="  4인 6인 테이블 기본형 1900mm, 메이플+화이트"/>
        <s v="  4인 6인 테이블 기본형 1900mm, 화이트"/>
        <s v="  4인 6인 테이블 콘센트형 1400mm, 메이플+빈티지블랙"/>
        <s v="  4인 6인 테이블 콘센트형 1400mm, 메이플+화이트"/>
        <s v="  4인 6인 테이블 콘센트형 1400mm, 빈티지블랙"/>
        <s v="  4인 6인 테이블 콘센트형 1400mm, 화이트"/>
        <s v="  4인 6인 테이블 콘센트형 1900mm, 메이플+빈티지블랙"/>
        <s v="  4인 6인 테이블 콘센트형 1900mm, 메이플+화이트"/>
        <s v="  4인 6인 테이블 콘센트형 1900mm, 화이트"/>
        <s v="  550x550 카페 테이블 DSBD0550"/>
        <s v="  800x600 다목적 테이블 (이동형) DSTB0806M"/>
        <s v="  2800폭 기본형 빅테이블 사각타입 DSTA2810"/>
        <s v="  2800폭 콘센트형 빅테이블 사각타입 DSTC2810"/>
        <s v="  3400폭 콘센트형 빅테이블 라운드타입 DSTC3410R"/>
        <s v="  700폭 소파테이블 이동형 DSTEA0705M"/>
        <s v="  스탠딩 테이블 1200x400mm, 메이플+화이트"/>
        <s v="  스탠딩 테이블 1200x400mm, 빈티지블랙"/>
        <s v="  스탠딩 테이블 1200x400mm, 화이트"/>
        <s v="  스탠딩 테이블 1200x600mm, 메이플+빈티지블랙"/>
        <s v="  스탠딩 테이블 1200x600mm, 메이플+화이트"/>
        <s v="  스탠딩 테이블 1200x600mm, 빈티지블랙"/>
        <s v="  스탠딩 테이블 1200x600mm, 화이트"/>
        <s v="  원형테이블 식탁 1000mm, 화이트"/>
        <s v="  원형테이블 식탁 800mm, 화이트"/>
        <s v="  4인 6인 테이블 기본형 (M02의자 세트) 1400mm, 화이트"/>
        <s v="  4인 6인 테이블 기본형 (M02의자 세트) 1900mm, 화이트"/>
        <s v="  4인 6인 테이블 콘센트형 (M02의자 세트) 1400mm, 메이플+화이트"/>
        <s v="  4인 6인 테이블 콘센트형 (M02의자 세트) 1900mm, 화이트"/>
        <s v="  6인용 식탁 세트 (기본형 테이블, 아웃라인 의자 4ea) 1900mm, 빈티지블랙+블랙"/>
        <s v="  6인용 식탁 세트 (기본형 테이블, 아웃라인 의자 4ea) 1900mm, 화이트+화이트"/>
        <s v="  6인용 식탁 세트 (콘센트형 테이블, 아웃라인 의자 4ea) 1900mm, 빈티지블랙+블랙"/>
        <s v="  6인용 식탁 세트 (콘센트형 테이블, 아웃라인 의자 4ea) 1900mm, 화이트+화이트"/>
        <s v="  1600x800 타원형 테이블 (기본형) DSTAA1608R"/>
        <s v="  1600x800 타원형 테이블 (콘센트형) DSTAC1608R"/>
        <s v="  600폭 타원형 사이드테이블 DSTBA0703 쿨그레이"/>
        <s v="  600폭 타원형 사이드테이블 DSTBA0703 화이트"/>
        <s v="  1200폭 라이트파티션(커넥터 기본 2개 포함) DSFAA1212"/>
        <s v="  1400폭 라이트파티션(커넥터 기본 2개 포함) DSFAA1412"/>
        <s v="  700폭 라이트파티션(커넥터 기본 2개 포함) DSFAA0712"/>
        <s v="  800폭 라이트파티션(커넥터 기본 2개 포함) DSFAA0812"/>
        <s v="  1200폭 전면 스크린 DSAF012"/>
        <s v="  1400폭 전면 스크린 DSAF014"/>
        <s v="  1600폭 전면 스크린 DSAF016"/>
        <s v="  1800폭 전면 스크린 DSAF018"/>
        <s v="  1200폭 낮은 목제 파티션 DSFCAY1212"/>
        <s v="  1400폭 낮은 목제 파티션 DSFCAY1214"/>
        <s v="  1600폭 낮은 목제 파티션 DSFCAY1216"/>
        <s v="  1800폭 낮은 목제 파티션 DSFCAY1218"/>
        <s v="  700폭 낮은 목제 파티션 DSFCAY1207"/>
        <s v="  800폭 낮은 목제 파티션 DSFCAY1208"/>
        <s v="  800폭 높은 목제 파티션 DSFCAY1708"/>
        <s v="  800폭 높은 목제 파티션(안정대, 엔드마감 포함) DSFCA1708A"/>
        <s v="  낮은 목제 파티션 엔드마감 DSFCEV1101"/>
        <s v="  낮은 목제 파티션 L형 커넥터 DSFCEE1101"/>
        <s v="  높은 목제 파티션 엔드마감 DSFCEV1701"/>
        <s v="  목제 파티션 안정대 (높은, 낮은 겸용) DSFCAE0301"/>
        <s v="  1200폭 페트 3면 스크린 DSFBA2606"/>
        <s v="  1400폭 페트 3면 스크린 DSFBA2806"/>
        <s v="  1600폭 페트 3면 스크린 DSFBA3006"/>
        <s v="  1800폭 페트 3면 스크린 DSFBA3206"/>
        <s v="  1200폭 펠트 스크린 DSBF712"/>
        <s v="  1400폭 펠트 스크린 DSBF714"/>
        <s v="  1600폭 펠트 스크린 DSBF716"/>
        <s v="  700폭 펠트 스크린 DSBF707"/>
        <s v="  800폭 행거 DSAC185W"/>
        <s v="  S01 등쿠션 DSSBAA0603 그린"/>
        <s v="  S01 등쿠션 DSSBAA0603 네이비"/>
        <s v="  S01 등쿠션 DSSBAA0603 라이트그레이"/>
        <s v="  S01 등쿠션 DSSBAA0603 핑크"/>
        <s v="  S01 소파 (등쿠션 2ea 포함) DSSBA1602J 스툴미포함, 다크그레이, 2인용"/>
        <s v="  S01 소파 (등쿠션 2ea 포함) DSSBA1602J 스툴미포함, 라이트그레이, 2인용"/>
        <s v="  S01 소파 스툴미포함, 라이트그레이, 3인용"/>
        <s v="  S01 스툴 (이동형) DSSBAA0504 네이비"/>
        <s v="  S01 스툴 (이동형) DSSBAA0504 라이트그레이"/>
        <m/>
      </sharedItems>
    </cacheField>
    <cacheField name="260105최종결제수" numFmtId="0">
      <sharedItems containsString="0" containsBlank="1" containsNumber="1" containsInteger="1" minValue="-1" maxValue="10003"/>
    </cacheField>
    <cacheField name="260105최종수량" numFmtId="0">
      <sharedItems containsString="0" containsBlank="1" containsNumber="1" containsInteger="1" minValue="-1" maxValue="11772"/>
    </cacheField>
    <cacheField name="260105최종금액" numFmtId="0">
      <sharedItems containsString="0" containsBlank="1" containsNumber="1" containsInteger="1" minValue="-301000" maxValue="347183830"/>
    </cacheField>
    <cacheField name="260105대분류 비중(전체)" numFmtId="0">
      <sharedItems containsString="0" containsBlank="1" containsNumber="1" minValue="4.2354934349851756E-4" maxValue="0.26785260482846251" count="17">
        <n v="0.15535789919525625"/>
        <n v="3.0326132994493857E-2"/>
        <n v="2.7107157983905124E-2"/>
        <n v="3.9728928420160951E-2"/>
        <n v="1.7280813214739517E-2"/>
        <n v="4.7861075815332485E-2"/>
        <n v="0.15213892418466751"/>
        <n v="2.8801355357899194E-2"/>
        <n v="0.15815332486234646"/>
        <n v="0.26785260482846251"/>
        <n v="3.9983058026260059E-2"/>
        <n v="1.0588733587462939E-2"/>
        <n v="8.6404066073697584E-3"/>
        <n v="1.5163066497246929E-2"/>
        <n v="4.2354934349851756E-4"/>
        <n v="5.9296908089792458E-4"/>
        <m/>
      </sharedItems>
    </cacheField>
    <cacheField name="260105소분류 비중(대분류내)" numFmtId="0">
      <sharedItems containsString="0" containsBlank="1" containsNumber="1" minValue="0" maxValue="1" count="51">
        <n v="0.47600872410032713"/>
        <n v="0.23009814612868049"/>
        <n v="0.29389312977099236"/>
        <n v="0.20391061452513967"/>
        <n v="0.79050279329608941"/>
        <n v="5.5865921787709499E-3"/>
        <n v="0.10625"/>
        <n v="0.89375000000000004"/>
        <n v="8.3155650319829424E-2"/>
        <n v="0.13646055437100213"/>
        <n v="1.7057569296375266E-2"/>
        <n v="0.42857142857142855"/>
        <n v="0.3347547974413646"/>
        <n v="4.9019607843137254E-3"/>
        <n v="0.99509803921568629"/>
        <n v="3.0088495575221239E-2"/>
        <n v="0.74336283185840712"/>
        <n v="0.15575221238938053"/>
        <n v="7.0796460176991149E-2"/>
        <n v="1"/>
        <n v="1.4705882352941176E-2"/>
        <n v="0.98529411764705888"/>
        <n v="9.3197643277986075E-2"/>
        <n v="6.5345474022495978E-2"/>
        <n v="2.3567220139260846E-2"/>
        <n v="0.30208891269416177"/>
        <n v="3.2137118371719335E-3"/>
        <n v="0.45634708087841458"/>
        <n v="1.3926084627745045E-2"/>
        <n v="4.2313872522763793E-2"/>
        <n v="0.35072738772928524"/>
        <n v="0.28779253636938645"/>
        <n v="2.8462998102466792E-2"/>
        <n v="0.33301707779886147"/>
        <n v="0.4788135593220339"/>
        <n v="5.2966101694915252E-2"/>
        <n v="0.46822033898305082"/>
        <n v="0.31372549019607843"/>
        <n v="0"/>
        <n v="9.8039215686274508E-3"/>
        <n v="8.8235294117647065E-2"/>
        <n v="0.12745098039215685"/>
        <n v="0.17647058823529413"/>
        <n v="0.11764705882352941"/>
        <n v="0.14705882352941177"/>
        <n v="8.3798882681564241E-2"/>
        <n v="0.11173184357541899"/>
        <n v="0.4972067039106145"/>
        <n v="2.7932960893854747E-2"/>
        <n v="0.27932960893854747"/>
        <m/>
      </sharedItems>
    </cacheField>
    <cacheField name="260105상품 비중(소분류내)" numFmtId="0">
      <sharedItems containsString="0" containsBlank="1" containsNumber="1" minValue="-0.05" maxValue="1"/>
    </cacheField>
    <cacheField name="260202최종결제수" numFmtId="0">
      <sharedItems containsString="0" containsBlank="1" containsNumber="1" containsInteger="1" minValue="0" maxValue="7837"/>
    </cacheField>
    <cacheField name="260202최종수량" numFmtId="0">
      <sharedItems containsString="0" containsBlank="1" containsNumber="1" containsInteger="1" minValue="-5" maxValue="8915"/>
    </cacheField>
    <cacheField name="260202최종금액" numFmtId="0">
      <sharedItems containsString="0" containsBlank="1" containsNumber="1" containsInteger="1" minValue="-878000" maxValue="210504820"/>
    </cacheField>
    <cacheField name="260202대분류 비중(전체)" numFmtId="0">
      <sharedItems containsString="0" containsBlank="1" containsNumber="1" minValue="1.0095344924284913E-3" maxValue="0.20874929893438027" count="17">
        <n v="0.1334828939988783"/>
        <n v="2.310712282669658E-2"/>
        <n v="3.3426808749298938E-2"/>
        <n v="6.7302299495232754E-2"/>
        <n v="1.6489063376332026E-2"/>
        <n v="5.0252383623107126E-2"/>
        <n v="0.15849691531127313"/>
        <n v="3.0510375771172181E-2"/>
        <n v="0.20874929893438027"/>
        <n v="0.19158721256309591"/>
        <n v="4.6887268648345484E-2"/>
        <n v="1.2114413909141896E-2"/>
        <n v="8.3006169377453729E-3"/>
        <n v="1.7049915872125631E-2"/>
        <n v="1.0095344924284913E-3"/>
        <n v="1.2338754907459339E-3"/>
        <m/>
      </sharedItems>
    </cacheField>
    <cacheField name="260202소분류 비중(대분류내)" numFmtId="0">
      <sharedItems containsString="0" containsBlank="1" containsNumber="1" minValue="0" maxValue="1"/>
    </cacheField>
    <cacheField name="260202상품 비중(소분류내)" numFmtId="0">
      <sharedItems containsString="0" containsBlank="1" containsNumber="1" minValue="-2.358490566037736E-2" maxValue="1"/>
    </cacheField>
    <cacheField name="수량 증감" numFmtId="0">
      <sharedItems containsString="0" containsBlank="1" containsNumber="1" containsInteger="1" minValue="-231" maxValue="45" count="74">
        <n v="-21"/>
        <n v="-71"/>
        <n v="-29"/>
        <n v="-231"/>
        <n v="-8"/>
        <n v="-28"/>
        <n v="-92"/>
        <n v="-14"/>
        <n v="-38"/>
        <n v="-11"/>
        <n v="-58"/>
        <n v="3"/>
        <n v="-3"/>
        <n v="1"/>
        <n v="-2"/>
        <n v="-1"/>
        <n v="0"/>
        <n v="2"/>
        <n v="-4"/>
        <n v="-59"/>
        <n v="4"/>
        <n v="-36"/>
        <n v="8"/>
        <n v="9"/>
        <n v="6"/>
        <n v="-5"/>
        <n v="-6"/>
        <n v="12"/>
        <n v="7"/>
        <n v="11"/>
        <n v="41"/>
        <n v="26"/>
        <n v="-15"/>
        <n v="13"/>
        <n v="-26"/>
        <n v="-43"/>
        <n v="-106"/>
        <n v="-13"/>
        <n v="-83"/>
        <n v="-42"/>
        <n v="-10"/>
        <n v="-18"/>
        <n v="-62"/>
        <n v="-68"/>
        <n v="-34"/>
        <n v="22"/>
        <n v="-23"/>
        <n v="5"/>
        <n v="-22"/>
        <n v="10"/>
        <n v="38"/>
        <n v="-30"/>
        <n v="-9"/>
        <n v="-7"/>
        <n v="18"/>
        <n v="-16"/>
        <n v="43"/>
        <n v="45"/>
        <n v="-44"/>
        <n v="-167"/>
        <n v="-226"/>
        <n v="-45"/>
        <n v="-153"/>
        <n v="-118"/>
        <n v="-25"/>
        <n v="-32"/>
        <n v="-195"/>
        <n v="-64"/>
        <n v="-54"/>
        <n v="-41"/>
        <n v="-63"/>
        <n v="-12"/>
        <n v="-27"/>
        <m/>
      </sharedItems>
    </cacheField>
    <cacheField name="수량 증감률(%)" numFmtId="0">
      <sharedItems containsString="0" containsBlank="1" containsNumber="1" minValue="-4" maxValue="12"/>
    </cacheField>
    <cacheField name="금액 증감" numFmtId="0">
      <sharedItems containsString="0" containsBlank="1" containsNumber="1" containsInteger="1" minValue="-136679010" maxValue="27873750"/>
    </cacheField>
    <cacheField name="금액 증감률(%)" numFmtId="0">
      <sharedItems containsString="0" containsBlank="1" containsNumber="1" minValue="-210.51030927835052" maxValue="94.3019254403932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x v="0"/>
    <n v="40"/>
    <n v="50"/>
    <n v="8742070"/>
    <x v="0"/>
    <x v="0"/>
    <n v="5.7273768613974797E-2"/>
    <n v="23"/>
    <n v="29"/>
    <n v="5093760"/>
    <x v="0"/>
    <n v="0.43781512605042017"/>
    <n v="5.5662188099808059E-2"/>
    <x v="0"/>
    <n v="-0.42"/>
    <n v="-3648310"/>
    <n v="-0.41732793262922857"/>
  </r>
  <r>
    <x v="0"/>
    <x v="0"/>
    <x v="1"/>
    <n v="109"/>
    <n v="113"/>
    <n v="23417450"/>
    <x v="0"/>
    <x v="0"/>
    <n v="0.12943871706758306"/>
    <n v="41"/>
    <n v="42"/>
    <n v="8769020"/>
    <x v="0"/>
    <n v="0.43781512605042017"/>
    <n v="8.0614203454894437E-2"/>
    <x v="1"/>
    <n v="-0.62831858407079644"/>
    <n v="-14648430"/>
    <n v="-0.62553480417381058"/>
  </r>
  <r>
    <x v="0"/>
    <x v="0"/>
    <x v="2"/>
    <n v="33"/>
    <n v="57"/>
    <n v="10874080"/>
    <x v="0"/>
    <x v="0"/>
    <n v="6.5292096219931275E-2"/>
    <n v="21"/>
    <n v="28"/>
    <n v="5303130"/>
    <x v="0"/>
    <n v="0.43781512605042017"/>
    <n v="5.3742802303262956E-2"/>
    <x v="2"/>
    <n v="-0.50877192982456143"/>
    <n v="-5570950"/>
    <n v="-0.51231460500566484"/>
  </r>
  <r>
    <x v="0"/>
    <x v="0"/>
    <x v="3"/>
    <n v="596"/>
    <n v="653"/>
    <n v="145870450"/>
    <x v="0"/>
    <x v="0"/>
    <n v="0.74799541809851089"/>
    <n v="363"/>
    <n v="422"/>
    <n v="94176910"/>
    <x v="0"/>
    <n v="0.43781512605042017"/>
    <n v="0.8099808061420346"/>
    <x v="3"/>
    <n v="-0.35375191424196017"/>
    <n v="-51693540"/>
    <n v="-0.3543797938513249"/>
  </r>
  <r>
    <x v="0"/>
    <x v="1"/>
    <x v="4"/>
    <n v="33"/>
    <n v="33"/>
    <n v="7155360"/>
    <x v="0"/>
    <x v="1"/>
    <n v="7.8199052132701424E-2"/>
    <n v="24"/>
    <n v="25"/>
    <n v="5543280"/>
    <x v="0"/>
    <n v="0.24033613445378152"/>
    <n v="8.7412587412587409E-2"/>
    <x v="4"/>
    <n v="-0.24242424242424243"/>
    <n v="-1612080"/>
    <n v="-0.22529684041054537"/>
  </r>
  <r>
    <x v="0"/>
    <x v="1"/>
    <x v="5"/>
    <n v="63"/>
    <n v="67"/>
    <n v="17790760"/>
    <x v="0"/>
    <x v="1"/>
    <n v="0.15876777251184834"/>
    <n v="38"/>
    <n v="39"/>
    <n v="10229990"/>
    <x v="0"/>
    <n v="0.24033613445378152"/>
    <n v="0.13636363636363635"/>
    <x v="5"/>
    <n v="-0.41791044776119401"/>
    <n v="-7560770"/>
    <n v="-0.42498296868711621"/>
  </r>
  <r>
    <x v="0"/>
    <x v="1"/>
    <x v="6"/>
    <n v="27"/>
    <n v="29"/>
    <n v="7427410"/>
    <x v="0"/>
    <x v="1"/>
    <n v="6.8720379146919433E-2"/>
    <n v="15"/>
    <n v="21"/>
    <n v="5557800"/>
    <x v="0"/>
    <n v="0.24033613445378152"/>
    <n v="7.3426573426573424E-2"/>
    <x v="4"/>
    <n v="-0.27586206896551724"/>
    <n v="-1869610"/>
    <n v="-0.25171762431318589"/>
  </r>
  <r>
    <x v="0"/>
    <x v="1"/>
    <x v="7"/>
    <n v="278"/>
    <n v="293"/>
    <n v="85729320"/>
    <x v="0"/>
    <x v="1"/>
    <n v="0.69431279620853081"/>
    <n v="190"/>
    <n v="201"/>
    <n v="59148840"/>
    <x v="0"/>
    <n v="0.24033613445378152"/>
    <n v="0.70279720279720281"/>
    <x v="6"/>
    <n v="-0.31399317406143346"/>
    <n v="-26580480"/>
    <n v="-0.31005121701653532"/>
  </r>
  <r>
    <x v="0"/>
    <x v="2"/>
    <x v="8"/>
    <n v="69"/>
    <n v="80"/>
    <n v="9892270"/>
    <x v="0"/>
    <x v="2"/>
    <n v="0.14842300556586271"/>
    <n v="57"/>
    <n v="66"/>
    <n v="8398120"/>
    <x v="0"/>
    <n v="0.32184873949579834"/>
    <n v="0.17232375979112272"/>
    <x v="7"/>
    <n v="-0.17499999999999999"/>
    <n v="-1494150"/>
    <n v="-0.15104217737688114"/>
  </r>
  <r>
    <x v="0"/>
    <x v="2"/>
    <x v="9"/>
    <n v="36"/>
    <n v="43"/>
    <n v="6974680"/>
    <x v="0"/>
    <x v="2"/>
    <n v="7.9777365491651209E-2"/>
    <n v="18"/>
    <n v="22"/>
    <n v="3540430"/>
    <x v="0"/>
    <n v="0.32184873949579834"/>
    <n v="5.7441253263707574E-2"/>
    <x v="0"/>
    <n v="-0.48837209302325579"/>
    <n v="-3434250"/>
    <n v="-0.49238818124989248"/>
  </r>
  <r>
    <x v="0"/>
    <x v="2"/>
    <x v="10"/>
    <n v="102"/>
    <n v="114"/>
    <n v="21857770"/>
    <x v="0"/>
    <x v="2"/>
    <n v="0.21150278293135436"/>
    <n v="75"/>
    <n v="76"/>
    <n v="14394140"/>
    <x v="0"/>
    <n v="0.32184873949579834"/>
    <n v="0.19843342036553524"/>
    <x v="8"/>
    <n v="-0.33333333333333331"/>
    <n v="-7463630"/>
    <n v="-0.34146347042722108"/>
  </r>
  <r>
    <x v="0"/>
    <x v="2"/>
    <x v="11"/>
    <n v="73"/>
    <n v="91"/>
    <n v="12544620"/>
    <x v="0"/>
    <x v="2"/>
    <n v="0.16883116883116883"/>
    <n v="70"/>
    <n v="80"/>
    <n v="10875600"/>
    <x v="0"/>
    <n v="0.32184873949579834"/>
    <n v="0.20887728459530025"/>
    <x v="9"/>
    <n v="-0.12087912087912088"/>
    <n v="-1669020"/>
    <n v="-0.13304667658326835"/>
  </r>
  <r>
    <x v="0"/>
    <x v="2"/>
    <x v="12"/>
    <n v="25"/>
    <n v="36"/>
    <n v="6093340"/>
    <x v="0"/>
    <x v="2"/>
    <n v="6.6790352504638217E-2"/>
    <n v="16"/>
    <n v="22"/>
    <n v="3735910"/>
    <x v="0"/>
    <n v="0.32184873949579834"/>
    <n v="5.7441253263707574E-2"/>
    <x v="7"/>
    <n v="-0.3888888888888889"/>
    <n v="-2357430"/>
    <n v="-0.38688633819875473"/>
  </r>
  <r>
    <x v="0"/>
    <x v="2"/>
    <x v="13"/>
    <n v="144"/>
    <n v="175"/>
    <n v="35603460"/>
    <x v="0"/>
    <x v="2"/>
    <n v="0.32467532467532467"/>
    <n v="103"/>
    <n v="117"/>
    <n v="23540150"/>
    <x v="0"/>
    <n v="0.32184873949579834"/>
    <n v="0.30548302872062666"/>
    <x v="10"/>
    <n v="-0.33142857142857141"/>
    <n v="-12063310"/>
    <n v="-0.33882409181579543"/>
  </r>
  <r>
    <x v="1"/>
    <x v="3"/>
    <x v="14"/>
    <n v="7"/>
    <n v="7"/>
    <n v="1864300"/>
    <x v="1"/>
    <x v="3"/>
    <n v="9.5890410958904104E-2"/>
    <n v="10"/>
    <n v="10"/>
    <n v="2611470"/>
    <x v="1"/>
    <n v="0.23786407766990292"/>
    <n v="0.20408163265306123"/>
    <x v="11"/>
    <n v="0.42857142857142855"/>
    <n v="747170"/>
    <n v="0.40077777181784047"/>
  </r>
  <r>
    <x v="1"/>
    <x v="3"/>
    <x v="15"/>
    <n v="3"/>
    <n v="4"/>
    <n v="1048180"/>
    <x v="1"/>
    <x v="3"/>
    <n v="5.4794520547945202E-2"/>
    <n v="1"/>
    <n v="1"/>
    <n v="268160"/>
    <x v="1"/>
    <n v="0.23786407766990292"/>
    <n v="2.0408163265306121E-2"/>
    <x v="12"/>
    <n v="-0.75"/>
    <n v="-780020"/>
    <n v="-0.74416607834532233"/>
  </r>
  <r>
    <x v="1"/>
    <x v="3"/>
    <x v="16"/>
    <n v="32"/>
    <n v="47"/>
    <n v="12312120"/>
    <x v="1"/>
    <x v="3"/>
    <n v="0.64383561643835618"/>
    <n v="16"/>
    <n v="18"/>
    <n v="4722590"/>
    <x v="1"/>
    <n v="0.23786407766990292"/>
    <n v="0.36734693877551022"/>
    <x v="2"/>
    <n v="-0.61702127659574468"/>
    <n v="-7589530"/>
    <n v="-0.61642755268792049"/>
  </r>
  <r>
    <x v="1"/>
    <x v="3"/>
    <x v="17"/>
    <n v="2"/>
    <n v="3"/>
    <n v="807340"/>
    <x v="1"/>
    <x v="3"/>
    <n v="4.1095890410958902E-2"/>
    <n v="4"/>
    <n v="4"/>
    <n v="1069740"/>
    <x v="1"/>
    <n v="0.23786407766990292"/>
    <n v="8.1632653061224483E-2"/>
    <x v="13"/>
    <n v="0.33333333333333331"/>
    <n v="262400"/>
    <n v="0.3250179602150271"/>
  </r>
  <r>
    <x v="1"/>
    <x v="3"/>
    <x v="18"/>
    <n v="1"/>
    <n v="1"/>
    <n v="259510"/>
    <x v="1"/>
    <x v="3"/>
    <n v="1.3698630136986301E-2"/>
    <n v="4"/>
    <n v="4"/>
    <n v="1088650"/>
    <x v="1"/>
    <n v="0.23786407766990292"/>
    <n v="8.1632653061224483E-2"/>
    <x v="11"/>
    <n v="3"/>
    <n v="829140"/>
    <n v="3.1950213864590959"/>
  </r>
  <r>
    <x v="1"/>
    <x v="3"/>
    <x v="19"/>
    <n v="2"/>
    <n v="2"/>
    <n v="532170"/>
    <x v="1"/>
    <x v="3"/>
    <n v="2.7397260273972601E-2"/>
    <n v="0"/>
    <n v="0"/>
    <n v="0"/>
    <x v="1"/>
    <n v="0.23786407766990292"/>
    <n v="0"/>
    <x v="14"/>
    <n v="-1"/>
    <n v="-532170"/>
    <n v="-1"/>
  </r>
  <r>
    <x v="1"/>
    <x v="3"/>
    <x v="20"/>
    <n v="1"/>
    <n v="1"/>
    <n v="284210"/>
    <x v="1"/>
    <x v="3"/>
    <n v="1.3698630136986301E-2"/>
    <n v="0"/>
    <n v="0"/>
    <n v="0"/>
    <x v="1"/>
    <n v="0.23786407766990292"/>
    <n v="0"/>
    <x v="15"/>
    <n v="-1"/>
    <n v="-284210"/>
    <n v="-1"/>
  </r>
  <r>
    <x v="1"/>
    <x v="3"/>
    <x v="21"/>
    <n v="3"/>
    <n v="3"/>
    <n v="799500"/>
    <x v="1"/>
    <x v="3"/>
    <n v="4.1095890410958902E-2"/>
    <n v="6"/>
    <n v="6"/>
    <n v="1642180"/>
    <x v="1"/>
    <n v="0.23786407766990292"/>
    <n v="0.12244897959183673"/>
    <x v="11"/>
    <n v="1"/>
    <n v="842680"/>
    <n v="1.0540087554721702"/>
  </r>
  <r>
    <x v="1"/>
    <x v="3"/>
    <x v="22"/>
    <n v="1"/>
    <n v="1"/>
    <n v="261750"/>
    <x v="1"/>
    <x v="3"/>
    <n v="1.3698630136986301E-2"/>
    <n v="0"/>
    <n v="0"/>
    <n v="-5510"/>
    <x v="1"/>
    <n v="0.23786407766990292"/>
    <n v="0"/>
    <x v="15"/>
    <n v="-1"/>
    <n v="-267260"/>
    <n v="-1.0210506208213945"/>
  </r>
  <r>
    <x v="1"/>
    <x v="3"/>
    <x v="23"/>
    <n v="1"/>
    <n v="1"/>
    <n v="261740"/>
    <x v="1"/>
    <x v="3"/>
    <n v="1.3698630136986301E-2"/>
    <n v="1"/>
    <n v="1"/>
    <n v="261740"/>
    <x v="1"/>
    <n v="0.23786407766990292"/>
    <n v="2.0408163265306121E-2"/>
    <x v="16"/>
    <n v="0"/>
    <n v="0"/>
    <n v="0"/>
  </r>
  <r>
    <x v="1"/>
    <x v="3"/>
    <x v="24"/>
    <n v="3"/>
    <n v="3"/>
    <n v="777590"/>
    <x v="1"/>
    <x v="3"/>
    <n v="4.1095890410958902E-2"/>
    <n v="5"/>
    <n v="5"/>
    <n v="1365990"/>
    <x v="1"/>
    <n v="0.23786407766990292"/>
    <n v="0.10204081632653061"/>
    <x v="17"/>
    <n v="0.66666666666666663"/>
    <n v="588400"/>
    <n v="0.75669697398371893"/>
  </r>
  <r>
    <x v="1"/>
    <x v="4"/>
    <x v="25"/>
    <n v="5"/>
    <n v="5"/>
    <n v="916150"/>
    <x v="1"/>
    <x v="4"/>
    <n v="1.7667844522968199E-2"/>
    <n v="1"/>
    <n v="1"/>
    <n v="177860"/>
    <x v="1"/>
    <n v="0.76213592233009708"/>
    <n v="6.369426751592357E-3"/>
    <x v="18"/>
    <n v="-0.8"/>
    <n v="-738290"/>
    <n v="-0.80586148556459092"/>
  </r>
  <r>
    <x v="1"/>
    <x v="4"/>
    <x v="26"/>
    <n v="1"/>
    <n v="1"/>
    <n v="353080"/>
    <x v="1"/>
    <x v="4"/>
    <n v="3.5335689045936395E-3"/>
    <n v="0"/>
    <n v="0"/>
    <n v="0"/>
    <x v="1"/>
    <n v="0.76213592233009708"/>
    <n v="0"/>
    <x v="15"/>
    <n v="-1"/>
    <n v="-353080"/>
    <n v="-1"/>
  </r>
  <r>
    <x v="1"/>
    <x v="4"/>
    <x v="27"/>
    <n v="76"/>
    <n v="78"/>
    <n v="20550360"/>
    <x v="1"/>
    <x v="4"/>
    <n v="0.2756183745583039"/>
    <n v="53"/>
    <n v="57"/>
    <n v="15048440"/>
    <x v="1"/>
    <n v="0.76213592233009708"/>
    <n v="0.36305732484076431"/>
    <x v="0"/>
    <n v="-0.26923076923076922"/>
    <n v="-5501920"/>
    <n v="-0.26772864319651823"/>
  </r>
  <r>
    <x v="1"/>
    <x v="4"/>
    <x v="28"/>
    <n v="88"/>
    <n v="103"/>
    <n v="42172180"/>
    <x v="1"/>
    <x v="4"/>
    <n v="0.36395759717314485"/>
    <n v="40"/>
    <n v="44"/>
    <n v="18104210"/>
    <x v="1"/>
    <n v="0.76213592233009708"/>
    <n v="0.28025477707006369"/>
    <x v="19"/>
    <n v="-0.57281553398058249"/>
    <n v="-24067970"/>
    <n v="-0.57070727669283394"/>
  </r>
  <r>
    <x v="1"/>
    <x v="4"/>
    <x v="29"/>
    <n v="53"/>
    <n v="69"/>
    <n v="16107900"/>
    <x v="1"/>
    <x v="4"/>
    <n v="0.24381625441696114"/>
    <n v="31"/>
    <n v="31"/>
    <n v="7237580"/>
    <x v="1"/>
    <n v="0.76213592233009708"/>
    <n v="0.19745222929936307"/>
    <x v="8"/>
    <n v="-0.55072463768115942"/>
    <n v="-8870320"/>
    <n v="-0.55068134269519931"/>
  </r>
  <r>
    <x v="1"/>
    <x v="4"/>
    <x v="30"/>
    <n v="24"/>
    <n v="27"/>
    <n v="10329960"/>
    <x v="1"/>
    <x v="4"/>
    <n v="9.5406360424028266E-2"/>
    <n v="23"/>
    <n v="24"/>
    <n v="9160340"/>
    <x v="1"/>
    <n v="0.76213592233009708"/>
    <n v="0.15286624203821655"/>
    <x v="12"/>
    <n v="-0.1111111111111111"/>
    <n v="-1169620"/>
    <n v="-0.11322599506677664"/>
  </r>
  <r>
    <x v="1"/>
    <x v="5"/>
    <x v="31"/>
    <n v="2"/>
    <n v="2"/>
    <n v="1077070"/>
    <x v="1"/>
    <x v="5"/>
    <n v="1"/>
    <n v="0"/>
    <n v="0"/>
    <n v="0"/>
    <x v="1"/>
    <n v="0"/>
    <n v="0"/>
    <x v="14"/>
    <n v="-1"/>
    <n v="-1077070"/>
    <n v="-1"/>
  </r>
  <r>
    <x v="2"/>
    <x v="6"/>
    <x v="32"/>
    <n v="29"/>
    <n v="30"/>
    <n v="2802780"/>
    <x v="2"/>
    <x v="6"/>
    <n v="0.88235294117647056"/>
    <n v="29"/>
    <n v="34"/>
    <n v="3193110"/>
    <x v="2"/>
    <n v="0.13087248322147652"/>
    <n v="0.87179487179487181"/>
    <x v="20"/>
    <n v="0.13333333333333333"/>
    <n v="390330"/>
    <n v="0.13926530087984074"/>
  </r>
  <r>
    <x v="2"/>
    <x v="6"/>
    <x v="33"/>
    <n v="4"/>
    <n v="4"/>
    <n v="341080"/>
    <x v="2"/>
    <x v="6"/>
    <n v="0.11764705882352941"/>
    <n v="5"/>
    <n v="5"/>
    <n v="414770"/>
    <x v="2"/>
    <n v="0.13087248322147652"/>
    <n v="0.12820512820512819"/>
    <x v="13"/>
    <n v="0.25"/>
    <n v="73690"/>
    <n v="0.21604902075759352"/>
  </r>
  <r>
    <x v="2"/>
    <x v="7"/>
    <x v="34"/>
    <n v="155"/>
    <n v="211"/>
    <n v="9989260"/>
    <x v="2"/>
    <x v="7"/>
    <n v="0.73776223776223782"/>
    <n v="150"/>
    <n v="175"/>
    <n v="8239770"/>
    <x v="2"/>
    <n v="0.86912751677852351"/>
    <n v="0.67567567567567566"/>
    <x v="21"/>
    <n v="-0.17061611374407584"/>
    <n v="-1749490"/>
    <n v="-0.17513709724243837"/>
  </r>
  <r>
    <x v="2"/>
    <x v="7"/>
    <x v="35"/>
    <n v="30"/>
    <n v="32"/>
    <n v="1207980"/>
    <x v="2"/>
    <x v="7"/>
    <n v="0.11188811188811189"/>
    <n v="30"/>
    <n v="40"/>
    <n v="1506610"/>
    <x v="2"/>
    <n v="0.86912751677852351"/>
    <n v="0.15444015444015444"/>
    <x v="22"/>
    <n v="0.25"/>
    <n v="298630"/>
    <n v="0.24721435785360685"/>
  </r>
  <r>
    <x v="2"/>
    <x v="7"/>
    <x v="36"/>
    <n v="40"/>
    <n v="43"/>
    <n v="1432440"/>
    <x v="2"/>
    <x v="7"/>
    <n v="0.15034965034965034"/>
    <n v="41"/>
    <n v="44"/>
    <n v="1455020"/>
    <x v="2"/>
    <n v="0.86912751677852351"/>
    <n v="0.16988416988416988"/>
    <x v="13"/>
    <n v="2.3255813953488372E-2"/>
    <n v="22580"/>
    <n v="1.5763312948535366E-2"/>
  </r>
  <r>
    <x v="3"/>
    <x v="8"/>
    <x v="37"/>
    <n v="5"/>
    <n v="5"/>
    <n v="2118020"/>
    <x v="3"/>
    <x v="8"/>
    <n v="0.12820512820512819"/>
    <n v="4"/>
    <n v="4"/>
    <n v="1650230"/>
    <x v="3"/>
    <n v="8.666666666666667E-2"/>
    <n v="7.6923076923076927E-2"/>
    <x v="15"/>
    <n v="-0.2"/>
    <n v="-467790"/>
    <n v="-0.22086193709218988"/>
  </r>
  <r>
    <x v="3"/>
    <x v="8"/>
    <x v="38"/>
    <n v="14"/>
    <n v="16"/>
    <n v="6719850"/>
    <x v="3"/>
    <x v="8"/>
    <n v="0.41025641025641024"/>
    <n v="19"/>
    <n v="19"/>
    <n v="7952320"/>
    <x v="3"/>
    <n v="8.666666666666667E-2"/>
    <n v="0.36538461538461536"/>
    <x v="11"/>
    <n v="0.1875"/>
    <n v="1232470"/>
    <n v="0.18340736772398195"/>
  </r>
  <r>
    <x v="3"/>
    <x v="8"/>
    <x v="39"/>
    <n v="6"/>
    <n v="6"/>
    <n v="2589410"/>
    <x v="3"/>
    <x v="8"/>
    <n v="0.15384615384615385"/>
    <n v="6"/>
    <n v="6"/>
    <n v="2556420"/>
    <x v="3"/>
    <n v="8.666666666666667E-2"/>
    <n v="0.11538461538461539"/>
    <x v="16"/>
    <n v="0"/>
    <n v="-32990"/>
    <n v="-1.2740353980250326E-2"/>
  </r>
  <r>
    <x v="3"/>
    <x v="8"/>
    <x v="40"/>
    <n v="5"/>
    <n v="6"/>
    <n v="2677410"/>
    <x v="3"/>
    <x v="8"/>
    <n v="0.15384615384615385"/>
    <n v="15"/>
    <n v="15"/>
    <n v="6512690"/>
    <x v="3"/>
    <n v="8.666666666666667E-2"/>
    <n v="0.28846153846153844"/>
    <x v="23"/>
    <n v="1.5"/>
    <n v="3835280"/>
    <n v="1.4324589808807766"/>
  </r>
  <r>
    <x v="3"/>
    <x v="8"/>
    <x v="41"/>
    <n v="4"/>
    <n v="4"/>
    <n v="1796550"/>
    <x v="3"/>
    <x v="8"/>
    <n v="0.10256410256410256"/>
    <n v="0"/>
    <n v="0"/>
    <n v="0"/>
    <x v="3"/>
    <n v="8.666666666666667E-2"/>
    <n v="0"/>
    <x v="18"/>
    <n v="-1"/>
    <n v="-1796550"/>
    <n v="-1"/>
  </r>
  <r>
    <x v="3"/>
    <x v="8"/>
    <x v="42"/>
    <n v="2"/>
    <n v="2"/>
    <n v="862760"/>
    <x v="3"/>
    <x v="8"/>
    <n v="5.128205128205128E-2"/>
    <n v="8"/>
    <n v="8"/>
    <n v="3461310"/>
    <x v="3"/>
    <n v="8.666666666666667E-2"/>
    <n v="0.15384615384615385"/>
    <x v="24"/>
    <n v="3"/>
    <n v="2598550"/>
    <n v="3.011903658027725"/>
  </r>
  <r>
    <x v="3"/>
    <x v="9"/>
    <x v="43"/>
    <n v="1"/>
    <n v="1"/>
    <n v="475150"/>
    <x v="3"/>
    <x v="9"/>
    <n v="1.5625E-2"/>
    <n v="1"/>
    <n v="1"/>
    <n v="470450"/>
    <x v="3"/>
    <n v="8.666666666666667E-2"/>
    <n v="1.9230769230769232E-2"/>
    <x v="16"/>
    <n v="0"/>
    <n v="-4700"/>
    <n v="-9.8916131747869094E-3"/>
  </r>
  <r>
    <x v="3"/>
    <x v="9"/>
    <x v="44"/>
    <n v="1"/>
    <n v="1"/>
    <n v="489290"/>
    <x v="3"/>
    <x v="9"/>
    <n v="1.5625E-2"/>
    <n v="0"/>
    <n v="0"/>
    <n v="0"/>
    <x v="3"/>
    <n v="8.666666666666667E-2"/>
    <n v="0"/>
    <x v="15"/>
    <n v="-1"/>
    <n v="-489290"/>
    <n v="-1"/>
  </r>
  <r>
    <x v="3"/>
    <x v="9"/>
    <x v="45"/>
    <n v="1"/>
    <n v="1"/>
    <n v="464800"/>
    <x v="3"/>
    <x v="9"/>
    <n v="1.5625E-2"/>
    <n v="0"/>
    <n v="0"/>
    <n v="0"/>
    <x v="3"/>
    <n v="8.666666666666667E-2"/>
    <n v="0"/>
    <x v="15"/>
    <n v="-1"/>
    <n v="-464800"/>
    <n v="-1"/>
  </r>
  <r>
    <x v="3"/>
    <x v="9"/>
    <x v="46"/>
    <n v="0"/>
    <n v="0"/>
    <n v="0"/>
    <x v="3"/>
    <x v="9"/>
    <n v="0"/>
    <n v="1"/>
    <n v="1"/>
    <n v="489290"/>
    <x v="3"/>
    <n v="8.666666666666667E-2"/>
    <n v="1.9230769230769232E-2"/>
    <x v="13"/>
    <n v="1"/>
    <n v="489290"/>
    <n v="1"/>
  </r>
  <r>
    <x v="3"/>
    <x v="9"/>
    <x v="47"/>
    <n v="1"/>
    <n v="1"/>
    <n v="489270"/>
    <x v="3"/>
    <x v="9"/>
    <n v="1.5625E-2"/>
    <n v="5"/>
    <n v="5"/>
    <n v="2422900"/>
    <x v="3"/>
    <n v="8.666666666666667E-2"/>
    <n v="9.6153846153846159E-2"/>
    <x v="20"/>
    <n v="4"/>
    <n v="1933630"/>
    <n v="3.9520714533897441"/>
  </r>
  <r>
    <x v="3"/>
    <x v="9"/>
    <x v="48"/>
    <n v="5"/>
    <n v="5"/>
    <n v="2464410"/>
    <x v="3"/>
    <x v="9"/>
    <n v="7.8125E-2"/>
    <n v="1"/>
    <n v="1"/>
    <n v="506210"/>
    <x v="3"/>
    <n v="8.666666666666667E-2"/>
    <n v="1.9230769230769232E-2"/>
    <x v="18"/>
    <n v="-0.8"/>
    <n v="-1958200"/>
    <n v="-0.79459180899282178"/>
  </r>
  <r>
    <x v="3"/>
    <x v="9"/>
    <x v="49"/>
    <n v="1"/>
    <n v="1"/>
    <n v="480880"/>
    <x v="3"/>
    <x v="9"/>
    <n v="1.5625E-2"/>
    <n v="2"/>
    <n v="2"/>
    <n v="993580"/>
    <x v="3"/>
    <n v="8.666666666666667E-2"/>
    <n v="3.8461538461538464E-2"/>
    <x v="13"/>
    <n v="1"/>
    <n v="512700"/>
    <n v="1.0661703543503578"/>
  </r>
  <r>
    <x v="3"/>
    <x v="9"/>
    <x v="50"/>
    <n v="3"/>
    <n v="3"/>
    <n v="1479190"/>
    <x v="3"/>
    <x v="9"/>
    <n v="4.6875E-2"/>
    <n v="2"/>
    <n v="2"/>
    <n v="1012420"/>
    <x v="3"/>
    <n v="8.666666666666667E-2"/>
    <n v="3.8461538461538464E-2"/>
    <x v="15"/>
    <n v="-0.33333333333333331"/>
    <n v="-466770"/>
    <n v="-0.31555783908760876"/>
  </r>
  <r>
    <x v="3"/>
    <x v="9"/>
    <x v="51"/>
    <n v="12"/>
    <n v="14"/>
    <n v="6845660"/>
    <x v="3"/>
    <x v="9"/>
    <n v="0.21875"/>
    <n v="14"/>
    <n v="16"/>
    <n v="7830030"/>
    <x v="3"/>
    <n v="8.666666666666667E-2"/>
    <n v="0.30769230769230771"/>
    <x v="17"/>
    <n v="0.14285714285714285"/>
    <n v="984370"/>
    <n v="0.14379475463286229"/>
  </r>
  <r>
    <x v="3"/>
    <x v="9"/>
    <x v="52"/>
    <n v="1"/>
    <n v="1"/>
    <n v="443260"/>
    <x v="3"/>
    <x v="9"/>
    <n v="1.5625E-2"/>
    <n v="0"/>
    <n v="0"/>
    <n v="0"/>
    <x v="3"/>
    <n v="8.666666666666667E-2"/>
    <n v="0"/>
    <x v="15"/>
    <n v="-1"/>
    <n v="-443260"/>
    <n v="-1"/>
  </r>
  <r>
    <x v="3"/>
    <x v="9"/>
    <x v="53"/>
    <n v="5"/>
    <n v="5"/>
    <n v="2554560"/>
    <x v="3"/>
    <x v="9"/>
    <n v="7.8125E-2"/>
    <n v="0"/>
    <n v="0"/>
    <n v="0"/>
    <x v="3"/>
    <n v="8.666666666666667E-2"/>
    <n v="0"/>
    <x v="25"/>
    <n v="-1"/>
    <n v="-2554560"/>
    <n v="-1"/>
  </r>
  <r>
    <x v="3"/>
    <x v="9"/>
    <x v="54"/>
    <n v="9"/>
    <n v="10"/>
    <n v="5010730"/>
    <x v="3"/>
    <x v="9"/>
    <n v="0.15625"/>
    <n v="5"/>
    <n v="7"/>
    <n v="3532460"/>
    <x v="3"/>
    <n v="8.666666666666667E-2"/>
    <n v="0.13461538461538461"/>
    <x v="12"/>
    <n v="-0.3"/>
    <n v="-1478270"/>
    <n v="-0.29502088518040287"/>
  </r>
  <r>
    <x v="3"/>
    <x v="9"/>
    <x v="55"/>
    <n v="1"/>
    <n v="1"/>
    <n v="544170"/>
    <x v="3"/>
    <x v="9"/>
    <n v="1.5625E-2"/>
    <n v="0"/>
    <n v="0"/>
    <n v="0"/>
    <x v="3"/>
    <n v="8.666666666666667E-2"/>
    <n v="0"/>
    <x v="15"/>
    <n v="-1"/>
    <n v="-544170"/>
    <n v="-1"/>
  </r>
  <r>
    <x v="3"/>
    <x v="9"/>
    <x v="56"/>
    <n v="1"/>
    <n v="1"/>
    <n v="526900"/>
    <x v="3"/>
    <x v="9"/>
    <n v="1.5625E-2"/>
    <n v="0"/>
    <n v="0"/>
    <n v="0"/>
    <x v="3"/>
    <n v="8.666666666666667E-2"/>
    <n v="0"/>
    <x v="15"/>
    <n v="-1"/>
    <n v="-526900"/>
    <n v="-1"/>
  </r>
  <r>
    <x v="3"/>
    <x v="9"/>
    <x v="57"/>
    <n v="4"/>
    <n v="4"/>
    <n v="2070860"/>
    <x v="3"/>
    <x v="9"/>
    <n v="6.25E-2"/>
    <n v="0"/>
    <n v="0"/>
    <n v="0"/>
    <x v="3"/>
    <n v="8.666666666666667E-2"/>
    <n v="0"/>
    <x v="18"/>
    <n v="-1"/>
    <n v="-2070860"/>
    <n v="-1"/>
  </r>
  <r>
    <x v="3"/>
    <x v="9"/>
    <x v="58"/>
    <n v="0"/>
    <n v="0"/>
    <n v="0"/>
    <x v="3"/>
    <x v="9"/>
    <n v="0"/>
    <n v="2"/>
    <n v="2"/>
    <n v="1053190"/>
    <x v="3"/>
    <n v="8.666666666666667E-2"/>
    <n v="3.8461538461538464E-2"/>
    <x v="17"/>
    <n v="1"/>
    <n v="1053190"/>
    <n v="1"/>
  </r>
  <r>
    <x v="3"/>
    <x v="9"/>
    <x v="59"/>
    <n v="2"/>
    <n v="2"/>
    <n v="1088840"/>
    <x v="3"/>
    <x v="9"/>
    <n v="3.125E-2"/>
    <n v="2"/>
    <n v="2"/>
    <n v="1088840"/>
    <x v="3"/>
    <n v="8.666666666666667E-2"/>
    <n v="3.8461538461538464E-2"/>
    <x v="16"/>
    <n v="0"/>
    <n v="0"/>
    <n v="0"/>
  </r>
  <r>
    <x v="3"/>
    <x v="9"/>
    <x v="60"/>
    <n v="1"/>
    <n v="1"/>
    <n v="491150"/>
    <x v="3"/>
    <x v="9"/>
    <n v="1.5625E-2"/>
    <n v="0"/>
    <n v="0"/>
    <n v="0"/>
    <x v="3"/>
    <n v="8.666666666666667E-2"/>
    <n v="0"/>
    <x v="15"/>
    <n v="-1"/>
    <n v="-491150"/>
    <n v="-1"/>
  </r>
  <r>
    <x v="3"/>
    <x v="9"/>
    <x v="61"/>
    <n v="1"/>
    <n v="1"/>
    <n v="505260"/>
    <x v="3"/>
    <x v="9"/>
    <n v="1.5625E-2"/>
    <n v="0"/>
    <n v="0"/>
    <n v="0"/>
    <x v="3"/>
    <n v="8.666666666666667E-2"/>
    <n v="0"/>
    <x v="15"/>
    <n v="-1"/>
    <n v="-505260"/>
    <n v="-1"/>
  </r>
  <r>
    <x v="3"/>
    <x v="9"/>
    <x v="62"/>
    <n v="0"/>
    <n v="0"/>
    <n v="0"/>
    <x v="3"/>
    <x v="9"/>
    <n v="0"/>
    <n v="2"/>
    <n v="2"/>
    <n v="990770"/>
    <x v="3"/>
    <n v="8.666666666666667E-2"/>
    <n v="3.8461538461538464E-2"/>
    <x v="17"/>
    <n v="1"/>
    <n v="990770"/>
    <n v="1"/>
  </r>
  <r>
    <x v="3"/>
    <x v="9"/>
    <x v="63"/>
    <n v="1"/>
    <n v="1"/>
    <n v="491140"/>
    <x v="3"/>
    <x v="9"/>
    <n v="1.5625E-2"/>
    <n v="2"/>
    <n v="2"/>
    <n v="1026140"/>
    <x v="3"/>
    <n v="8.666666666666667E-2"/>
    <n v="3.8461538461538464E-2"/>
    <x v="13"/>
    <n v="1"/>
    <n v="535000"/>
    <n v="1.0893024392230322"/>
  </r>
  <r>
    <x v="3"/>
    <x v="9"/>
    <x v="64"/>
    <n v="0"/>
    <n v="0"/>
    <n v="-94820"/>
    <x v="3"/>
    <x v="9"/>
    <n v="0"/>
    <n v="0"/>
    <n v="0"/>
    <n v="0"/>
    <x v="3"/>
    <n v="8.666666666666667E-2"/>
    <n v="0"/>
    <x v="16"/>
    <n v="0"/>
    <n v="94820"/>
    <n v="-1"/>
  </r>
  <r>
    <x v="3"/>
    <x v="9"/>
    <x v="65"/>
    <n v="0"/>
    <n v="0"/>
    <n v="0"/>
    <x v="3"/>
    <x v="9"/>
    <n v="0"/>
    <n v="3"/>
    <n v="3"/>
    <n v="1582730"/>
    <x v="3"/>
    <n v="8.666666666666667E-2"/>
    <n v="5.7692307692307696E-2"/>
    <x v="11"/>
    <n v="1"/>
    <n v="1582730"/>
    <n v="1"/>
  </r>
  <r>
    <x v="3"/>
    <x v="9"/>
    <x v="66"/>
    <n v="1"/>
    <n v="1"/>
    <n v="496080"/>
    <x v="3"/>
    <x v="9"/>
    <n v="1.5625E-2"/>
    <n v="1"/>
    <n v="1"/>
    <n v="496080"/>
    <x v="3"/>
    <n v="8.666666666666667E-2"/>
    <n v="1.9230769230769232E-2"/>
    <x v="16"/>
    <n v="0"/>
    <n v="0"/>
    <n v="0"/>
  </r>
  <r>
    <x v="3"/>
    <x v="9"/>
    <x v="67"/>
    <n v="0"/>
    <n v="0"/>
    <n v="0"/>
    <x v="3"/>
    <x v="9"/>
    <n v="0"/>
    <n v="1"/>
    <n v="1"/>
    <n v="532540"/>
    <x v="3"/>
    <n v="8.666666666666667E-2"/>
    <n v="1.9230769230769232E-2"/>
    <x v="13"/>
    <n v="1"/>
    <n v="532540"/>
    <n v="1"/>
  </r>
  <r>
    <x v="3"/>
    <x v="9"/>
    <x v="68"/>
    <n v="1"/>
    <n v="1"/>
    <n v="532550"/>
    <x v="3"/>
    <x v="9"/>
    <n v="1.5625E-2"/>
    <n v="0"/>
    <n v="0"/>
    <n v="0"/>
    <x v="3"/>
    <n v="8.666666666666667E-2"/>
    <n v="0"/>
    <x v="15"/>
    <n v="-1"/>
    <n v="-532550"/>
    <n v="-1"/>
  </r>
  <r>
    <x v="3"/>
    <x v="9"/>
    <x v="69"/>
    <n v="0"/>
    <n v="0"/>
    <n v="0"/>
    <x v="3"/>
    <x v="9"/>
    <n v="0"/>
    <n v="1"/>
    <n v="1"/>
    <n v="532540"/>
    <x v="3"/>
    <n v="8.666666666666667E-2"/>
    <n v="1.9230769230769232E-2"/>
    <x v="13"/>
    <n v="1"/>
    <n v="532540"/>
    <n v="1"/>
  </r>
  <r>
    <x v="3"/>
    <x v="9"/>
    <x v="70"/>
    <n v="3"/>
    <n v="4"/>
    <n v="2105410"/>
    <x v="3"/>
    <x v="9"/>
    <n v="6.25E-2"/>
    <n v="1"/>
    <n v="1"/>
    <n v="513750"/>
    <x v="3"/>
    <n v="8.666666666666667E-2"/>
    <n v="1.9230769230769232E-2"/>
    <x v="12"/>
    <n v="-0.75"/>
    <n v="-1591660"/>
    <n v="-0.75598576999254297"/>
  </r>
  <r>
    <x v="3"/>
    <x v="9"/>
    <x v="71"/>
    <n v="1"/>
    <n v="1"/>
    <n v="560650"/>
    <x v="3"/>
    <x v="9"/>
    <n v="1.5625E-2"/>
    <n v="0"/>
    <n v="0"/>
    <n v="0"/>
    <x v="3"/>
    <n v="8.666666666666667E-2"/>
    <n v="0"/>
    <x v="15"/>
    <n v="-1"/>
    <n v="-560650"/>
    <n v="-1"/>
  </r>
  <r>
    <x v="3"/>
    <x v="9"/>
    <x v="72"/>
    <n v="1"/>
    <n v="1"/>
    <n v="543840"/>
    <x v="3"/>
    <x v="9"/>
    <n v="1.5625E-2"/>
    <n v="1"/>
    <n v="1"/>
    <n v="543840"/>
    <x v="3"/>
    <n v="8.666666666666667E-2"/>
    <n v="1.9230769230769232E-2"/>
    <x v="16"/>
    <n v="0"/>
    <n v="0"/>
    <n v="0"/>
  </r>
  <r>
    <x v="3"/>
    <x v="9"/>
    <x v="73"/>
    <n v="2"/>
    <n v="2"/>
    <n v="1104500"/>
    <x v="3"/>
    <x v="9"/>
    <n v="3.125E-2"/>
    <n v="0"/>
    <n v="0"/>
    <n v="0"/>
    <x v="3"/>
    <n v="8.666666666666667E-2"/>
    <n v="0"/>
    <x v="14"/>
    <n v="-1"/>
    <n v="-1104500"/>
    <n v="-1"/>
  </r>
  <r>
    <x v="3"/>
    <x v="9"/>
    <x v="74"/>
    <n v="0"/>
    <n v="0"/>
    <n v="0"/>
    <x v="3"/>
    <x v="9"/>
    <n v="0"/>
    <n v="1"/>
    <n v="1"/>
    <n v="525020"/>
    <x v="3"/>
    <n v="8.666666666666667E-2"/>
    <n v="1.9230769230769232E-2"/>
    <x v="13"/>
    <n v="1"/>
    <n v="525020"/>
    <n v="1"/>
  </r>
  <r>
    <x v="3"/>
    <x v="10"/>
    <x v="75"/>
    <n v="0"/>
    <n v="0"/>
    <n v="24410"/>
    <x v="3"/>
    <x v="10"/>
    <n v="0"/>
    <n v="2"/>
    <n v="2"/>
    <n v="2326320"/>
    <x v="3"/>
    <n v="0.02"/>
    <n v="0.16666666666666666"/>
    <x v="17"/>
    <n v="1"/>
    <n v="2301910"/>
    <n v="94.301925440393276"/>
  </r>
  <r>
    <x v="3"/>
    <x v="10"/>
    <x v="76"/>
    <n v="1"/>
    <n v="1"/>
    <n v="1159180"/>
    <x v="3"/>
    <x v="10"/>
    <n v="0.125"/>
    <n v="0"/>
    <n v="0"/>
    <n v="-32040"/>
    <x v="3"/>
    <n v="0.02"/>
    <n v="0"/>
    <x v="15"/>
    <n v="-1"/>
    <n v="-1191220"/>
    <n v="-1.0276402284373436"/>
  </r>
  <r>
    <x v="3"/>
    <x v="10"/>
    <x v="77"/>
    <n v="7"/>
    <n v="7"/>
    <n v="7973000"/>
    <x v="3"/>
    <x v="10"/>
    <n v="0.875"/>
    <n v="10"/>
    <n v="10"/>
    <n v="11505540"/>
    <x v="3"/>
    <n v="0.02"/>
    <n v="0.83333333333333337"/>
    <x v="11"/>
    <n v="0.42857142857142855"/>
    <n v="3532540"/>
    <n v="0.44306283707512856"/>
  </r>
  <r>
    <x v="3"/>
    <x v="11"/>
    <x v="78"/>
    <n v="3"/>
    <n v="3"/>
    <n v="1926050"/>
    <x v="3"/>
    <x v="11"/>
    <n v="1.4925373134328358E-2"/>
    <n v="4"/>
    <n v="4"/>
    <n v="2617160"/>
    <x v="3"/>
    <n v="0.54833333333333334"/>
    <n v="1.2158054711246201E-2"/>
    <x v="13"/>
    <n v="0.33333333333333331"/>
    <n v="691110"/>
    <n v="0.35882246047610394"/>
  </r>
  <r>
    <x v="3"/>
    <x v="11"/>
    <x v="79"/>
    <n v="0"/>
    <n v="0"/>
    <n v="0"/>
    <x v="3"/>
    <x v="11"/>
    <n v="0"/>
    <n v="8"/>
    <n v="8"/>
    <n v="5115780"/>
    <x v="3"/>
    <n v="0.54833333333333334"/>
    <n v="2.4316109422492401E-2"/>
    <x v="22"/>
    <n v="1"/>
    <n v="5115780"/>
    <n v="1"/>
  </r>
  <r>
    <x v="3"/>
    <x v="11"/>
    <x v="80"/>
    <n v="1"/>
    <n v="1"/>
    <n v="643570"/>
    <x v="3"/>
    <x v="11"/>
    <n v="4.9751243781094526E-3"/>
    <n v="3"/>
    <n v="4"/>
    <n v="2621970"/>
    <x v="3"/>
    <n v="0.54833333333333334"/>
    <n v="1.2158054711246201E-2"/>
    <x v="11"/>
    <n v="3"/>
    <n v="1978400"/>
    <n v="3.0741022732569885"/>
  </r>
  <r>
    <x v="3"/>
    <x v="11"/>
    <x v="81"/>
    <n v="18"/>
    <n v="19"/>
    <n v="12238940"/>
    <x v="3"/>
    <x v="11"/>
    <n v="9.4527363184079602E-2"/>
    <n v="13"/>
    <n v="13"/>
    <n v="8425080"/>
    <x v="3"/>
    <n v="0.54833333333333334"/>
    <n v="3.9513677811550151E-2"/>
    <x v="26"/>
    <n v="-0.31578947368421051"/>
    <n v="-3813860"/>
    <n v="-0.31161685570809239"/>
  </r>
  <r>
    <x v="3"/>
    <x v="11"/>
    <x v="82"/>
    <n v="1"/>
    <n v="1"/>
    <n v="671800"/>
    <x v="3"/>
    <x v="11"/>
    <n v="4.9751243781094526E-3"/>
    <n v="4"/>
    <n v="4"/>
    <n v="2769800"/>
    <x v="3"/>
    <n v="0.54833333333333334"/>
    <n v="1.2158054711246201E-2"/>
    <x v="11"/>
    <n v="3"/>
    <n v="2098000"/>
    <n v="3.1229532598987793"/>
  </r>
  <r>
    <x v="3"/>
    <x v="11"/>
    <x v="83"/>
    <n v="2"/>
    <n v="2"/>
    <n v="1343600"/>
    <x v="3"/>
    <x v="11"/>
    <n v="9.9502487562189053E-3"/>
    <n v="0"/>
    <n v="0"/>
    <n v="0"/>
    <x v="3"/>
    <n v="0.54833333333333334"/>
    <n v="0"/>
    <x v="14"/>
    <n v="-1"/>
    <n v="-1343600"/>
    <n v="-1"/>
  </r>
  <r>
    <x v="3"/>
    <x v="11"/>
    <x v="84"/>
    <n v="2"/>
    <n v="2"/>
    <n v="1303310"/>
    <x v="3"/>
    <x v="11"/>
    <n v="9.9502487562189053E-3"/>
    <n v="2"/>
    <n v="2"/>
    <n v="1309290"/>
    <x v="3"/>
    <n v="0.54833333333333334"/>
    <n v="6.0790273556231003E-3"/>
    <x v="16"/>
    <n v="0"/>
    <n v="5980"/>
    <n v="4.5883174379080958E-3"/>
  </r>
  <r>
    <x v="3"/>
    <x v="11"/>
    <x v="85"/>
    <n v="14"/>
    <n v="14"/>
    <n v="9334880"/>
    <x v="3"/>
    <x v="11"/>
    <n v="6.965174129353234E-2"/>
    <n v="8"/>
    <n v="8"/>
    <n v="5243000"/>
    <x v="3"/>
    <n v="0.54833333333333334"/>
    <n v="2.4316109422492401E-2"/>
    <x v="26"/>
    <n v="-0.42857142857142855"/>
    <n v="-4091880"/>
    <n v="-0.43834307457621308"/>
  </r>
  <r>
    <x v="3"/>
    <x v="11"/>
    <x v="86"/>
    <n v="2"/>
    <n v="2"/>
    <n v="1382230"/>
    <x v="3"/>
    <x v="11"/>
    <n v="9.9502487562189053E-3"/>
    <n v="0"/>
    <n v="0"/>
    <n v="0"/>
    <x v="3"/>
    <n v="0.54833333333333334"/>
    <n v="0"/>
    <x v="14"/>
    <n v="-1"/>
    <n v="-1382230"/>
    <n v="-1"/>
  </r>
  <r>
    <x v="3"/>
    <x v="11"/>
    <x v="87"/>
    <n v="3"/>
    <n v="3"/>
    <n v="2065510"/>
    <x v="3"/>
    <x v="11"/>
    <n v="1.4925373134328358E-2"/>
    <n v="0"/>
    <n v="0"/>
    <n v="0"/>
    <x v="3"/>
    <n v="0.54833333333333334"/>
    <n v="0"/>
    <x v="12"/>
    <n v="-1"/>
    <n v="-2065510"/>
    <n v="-1"/>
  </r>
  <r>
    <x v="3"/>
    <x v="11"/>
    <x v="88"/>
    <n v="4"/>
    <n v="4"/>
    <n v="2734340"/>
    <x v="3"/>
    <x v="11"/>
    <n v="1.9900497512437811E-2"/>
    <n v="1"/>
    <n v="1"/>
    <n v="685910"/>
    <x v="3"/>
    <n v="0.54833333333333334"/>
    <n v="3.0395136778115501E-3"/>
    <x v="12"/>
    <n v="-0.75"/>
    <n v="-2048430"/>
    <n v="-0.74914970340191778"/>
  </r>
  <r>
    <x v="3"/>
    <x v="11"/>
    <x v="89"/>
    <n v="1"/>
    <n v="1"/>
    <n v="704730"/>
    <x v="3"/>
    <x v="11"/>
    <n v="4.9751243781094526E-3"/>
    <n v="1"/>
    <n v="1"/>
    <n v="777230"/>
    <x v="3"/>
    <n v="0.54833333333333334"/>
    <n v="3.0395136778115501E-3"/>
    <x v="16"/>
    <n v="0"/>
    <n v="72500"/>
    <n v="0.10287627885856995"/>
  </r>
  <r>
    <x v="3"/>
    <x v="11"/>
    <x v="90"/>
    <n v="2"/>
    <n v="2"/>
    <n v="1169970"/>
    <x v="3"/>
    <x v="11"/>
    <n v="9.9502487562189053E-3"/>
    <n v="13"/>
    <n v="14"/>
    <n v="9185820"/>
    <x v="3"/>
    <n v="0.54833333333333334"/>
    <n v="4.2553191489361701E-2"/>
    <x v="27"/>
    <n v="6"/>
    <n v="8015850"/>
    <n v="6.8513295212697765"/>
  </r>
  <r>
    <x v="3"/>
    <x v="11"/>
    <x v="91"/>
    <n v="4"/>
    <n v="4"/>
    <n v="2635000"/>
    <x v="3"/>
    <x v="11"/>
    <n v="1.9900497512437811E-2"/>
    <n v="7"/>
    <n v="7"/>
    <n v="4613200"/>
    <x v="3"/>
    <n v="0.54833333333333334"/>
    <n v="2.1276595744680851E-2"/>
    <x v="11"/>
    <n v="0.75"/>
    <n v="1978200"/>
    <n v="0.75074003795066413"/>
  </r>
  <r>
    <x v="3"/>
    <x v="11"/>
    <x v="92"/>
    <n v="3"/>
    <n v="3"/>
    <n v="1958940"/>
    <x v="3"/>
    <x v="11"/>
    <n v="1.4925373134328358E-2"/>
    <n v="6"/>
    <n v="6"/>
    <n v="3959860"/>
    <x v="3"/>
    <n v="0.54833333333333334"/>
    <n v="1.82370820668693E-2"/>
    <x v="11"/>
    <n v="1"/>
    <n v="2000920"/>
    <n v="1.0214299570175707"/>
  </r>
  <r>
    <x v="3"/>
    <x v="11"/>
    <x v="93"/>
    <n v="10"/>
    <n v="10"/>
    <n v="6347950"/>
    <x v="3"/>
    <x v="11"/>
    <n v="4.975124378109453E-2"/>
    <n v="18"/>
    <n v="19"/>
    <n v="12277100"/>
    <x v="3"/>
    <n v="0.54833333333333334"/>
    <n v="5.7750759878419454E-2"/>
    <x v="23"/>
    <n v="0.9"/>
    <n v="5929150"/>
    <n v="0.9340259453839429"/>
  </r>
  <r>
    <x v="3"/>
    <x v="11"/>
    <x v="94"/>
    <n v="6"/>
    <n v="6"/>
    <n v="4130440"/>
    <x v="3"/>
    <x v="11"/>
    <n v="2.9850746268656716E-2"/>
    <n v="13"/>
    <n v="13"/>
    <n v="8883220"/>
    <x v="3"/>
    <n v="0.54833333333333334"/>
    <n v="3.9513677811550151E-2"/>
    <x v="28"/>
    <n v="1.1666666666666667"/>
    <n v="4752780"/>
    <n v="1.1506715991516643"/>
  </r>
  <r>
    <x v="3"/>
    <x v="11"/>
    <x v="95"/>
    <n v="5"/>
    <n v="5"/>
    <n v="3337490"/>
    <x v="3"/>
    <x v="11"/>
    <n v="2.4875621890547265E-2"/>
    <n v="13"/>
    <n v="13"/>
    <n v="8782960"/>
    <x v="3"/>
    <n v="0.54833333333333334"/>
    <n v="3.9513677811550151E-2"/>
    <x v="22"/>
    <n v="1.6"/>
    <n v="5445470"/>
    <n v="1.6316063868356161"/>
  </r>
  <r>
    <x v="3"/>
    <x v="11"/>
    <x v="96"/>
    <n v="8"/>
    <n v="8"/>
    <n v="5317710"/>
    <x v="3"/>
    <x v="11"/>
    <n v="3.9800995024875621E-2"/>
    <n v="19"/>
    <n v="19"/>
    <n v="13024520"/>
    <x v="3"/>
    <n v="0.54833333333333334"/>
    <n v="5.7750759878419454E-2"/>
    <x v="29"/>
    <n v="1.375"/>
    <n v="7706810"/>
    <n v="1.4492723371526466"/>
  </r>
  <r>
    <x v="3"/>
    <x v="11"/>
    <x v="97"/>
    <n v="27"/>
    <n v="27"/>
    <n v="17982450"/>
    <x v="3"/>
    <x v="11"/>
    <n v="0.13432835820895522"/>
    <n v="65"/>
    <n v="68"/>
    <n v="45856200"/>
    <x v="3"/>
    <n v="0.54833333333333334"/>
    <n v="0.20668693009118541"/>
    <x v="30"/>
    <n v="1.5185185185185186"/>
    <n v="27873750"/>
    <n v="1.5500529683107698"/>
  </r>
  <r>
    <x v="3"/>
    <x v="11"/>
    <x v="98"/>
    <n v="13"/>
    <n v="13"/>
    <n v="9276360"/>
    <x v="3"/>
    <x v="11"/>
    <n v="6.4676616915422883E-2"/>
    <n v="12"/>
    <n v="12"/>
    <n v="8360850"/>
    <x v="3"/>
    <n v="0.54833333333333334"/>
    <n v="3.64741641337386E-2"/>
    <x v="15"/>
    <n v="-7.6923076923076927E-2"/>
    <n v="-915510"/>
    <n v="-9.8692806230029878E-2"/>
  </r>
  <r>
    <x v="3"/>
    <x v="11"/>
    <x v="99"/>
    <n v="12"/>
    <n v="12"/>
    <n v="8327820"/>
    <x v="3"/>
    <x v="11"/>
    <n v="5.9701492537313432E-2"/>
    <n v="21"/>
    <n v="24"/>
    <n v="16749820"/>
    <x v="3"/>
    <n v="0.54833333333333334"/>
    <n v="7.29483282674772E-2"/>
    <x v="27"/>
    <n v="1"/>
    <n v="8422000"/>
    <n v="1.0113090820887098"/>
  </r>
  <r>
    <x v="3"/>
    <x v="11"/>
    <x v="100"/>
    <n v="9"/>
    <n v="9"/>
    <n v="6268200"/>
    <x v="3"/>
    <x v="11"/>
    <n v="4.4776119402985072E-2"/>
    <n v="16"/>
    <n v="16"/>
    <n v="11168970"/>
    <x v="3"/>
    <n v="0.54833333333333334"/>
    <n v="4.8632218844984802E-2"/>
    <x v="28"/>
    <n v="0.77777777777777779"/>
    <n v="4900770"/>
    <n v="0.78184646309945438"/>
  </r>
  <r>
    <x v="3"/>
    <x v="11"/>
    <x v="101"/>
    <n v="32"/>
    <n v="32"/>
    <n v="22085610"/>
    <x v="3"/>
    <x v="11"/>
    <n v="0.15920398009950248"/>
    <n v="58"/>
    <n v="58"/>
    <n v="39986840"/>
    <x v="3"/>
    <n v="0.54833333333333334"/>
    <n v="0.17629179331306991"/>
    <x v="31"/>
    <n v="0.8125"/>
    <n v="17901230"/>
    <n v="0.81053817395127414"/>
  </r>
  <r>
    <x v="3"/>
    <x v="11"/>
    <x v="102"/>
    <n v="0"/>
    <n v="0"/>
    <n v="0"/>
    <x v="3"/>
    <x v="11"/>
    <n v="0"/>
    <n v="1"/>
    <n v="1"/>
    <n v="695320"/>
    <x v="3"/>
    <n v="0.54833333333333334"/>
    <n v="3.0395136778115501E-3"/>
    <x v="13"/>
    <n v="1"/>
    <n v="695320"/>
    <n v="1"/>
  </r>
  <r>
    <x v="3"/>
    <x v="11"/>
    <x v="103"/>
    <n v="1"/>
    <n v="1"/>
    <n v="685590"/>
    <x v="3"/>
    <x v="11"/>
    <n v="4.9751243781094526E-3"/>
    <n v="0"/>
    <n v="0"/>
    <n v="0"/>
    <x v="3"/>
    <n v="0.54833333333333334"/>
    <n v="0"/>
    <x v="15"/>
    <n v="-1"/>
    <n v="-685590"/>
    <n v="-1"/>
  </r>
  <r>
    <x v="3"/>
    <x v="11"/>
    <x v="104"/>
    <n v="2"/>
    <n v="2"/>
    <n v="1400060"/>
    <x v="3"/>
    <x v="11"/>
    <n v="9.9502487562189053E-3"/>
    <n v="0"/>
    <n v="0"/>
    <n v="0"/>
    <x v="3"/>
    <n v="0.54833333333333334"/>
    <n v="0"/>
    <x v="14"/>
    <n v="-1"/>
    <n v="-1400060"/>
    <n v="-1"/>
  </r>
  <r>
    <x v="3"/>
    <x v="11"/>
    <x v="105"/>
    <n v="1"/>
    <n v="1"/>
    <n v="789000"/>
    <x v="3"/>
    <x v="11"/>
    <n v="4.9751243781094526E-3"/>
    <n v="0"/>
    <n v="0"/>
    <n v="0"/>
    <x v="3"/>
    <n v="0.54833333333333334"/>
    <n v="0"/>
    <x v="15"/>
    <n v="-1"/>
    <n v="-789000"/>
    <n v="-1"/>
  </r>
  <r>
    <x v="3"/>
    <x v="11"/>
    <x v="106"/>
    <n v="0"/>
    <n v="0"/>
    <n v="0"/>
    <x v="3"/>
    <x v="11"/>
    <n v="0"/>
    <n v="1"/>
    <n v="1"/>
    <n v="742370"/>
    <x v="3"/>
    <n v="0.54833333333333334"/>
    <n v="3.0395136778115501E-3"/>
    <x v="13"/>
    <n v="1"/>
    <n v="742370"/>
    <n v="1"/>
  </r>
  <r>
    <x v="3"/>
    <x v="11"/>
    <x v="107"/>
    <n v="1"/>
    <n v="1"/>
    <n v="713240"/>
    <x v="3"/>
    <x v="11"/>
    <n v="4.9751243781094526E-3"/>
    <n v="0"/>
    <n v="0"/>
    <n v="0"/>
    <x v="3"/>
    <n v="0.54833333333333334"/>
    <n v="0"/>
    <x v="15"/>
    <n v="-1"/>
    <n v="-713240"/>
    <n v="-1"/>
  </r>
  <r>
    <x v="3"/>
    <x v="11"/>
    <x v="108"/>
    <n v="1"/>
    <n v="1"/>
    <n v="761230"/>
    <x v="3"/>
    <x v="11"/>
    <n v="4.9751243781094526E-3"/>
    <n v="0"/>
    <n v="0"/>
    <n v="0"/>
    <x v="3"/>
    <n v="0.54833333333333334"/>
    <n v="0"/>
    <x v="15"/>
    <n v="-1"/>
    <n v="-761230"/>
    <n v="-1"/>
  </r>
  <r>
    <x v="3"/>
    <x v="11"/>
    <x v="109"/>
    <n v="1"/>
    <n v="1"/>
    <n v="673190"/>
    <x v="3"/>
    <x v="11"/>
    <n v="4.9751243781094526E-3"/>
    <n v="0"/>
    <n v="0"/>
    <n v="0"/>
    <x v="3"/>
    <n v="0.54833333333333334"/>
    <n v="0"/>
    <x v="15"/>
    <n v="-1"/>
    <n v="-673190"/>
    <n v="-1"/>
  </r>
  <r>
    <x v="3"/>
    <x v="11"/>
    <x v="110"/>
    <n v="1"/>
    <n v="1"/>
    <n v="699450"/>
    <x v="3"/>
    <x v="11"/>
    <n v="4.9751243781094526E-3"/>
    <n v="0"/>
    <n v="0"/>
    <n v="0"/>
    <x v="3"/>
    <n v="0.54833333333333334"/>
    <n v="0"/>
    <x v="15"/>
    <n v="-1"/>
    <n v="-699450"/>
    <n v="-1"/>
  </r>
  <r>
    <x v="3"/>
    <x v="11"/>
    <x v="111"/>
    <n v="1"/>
    <n v="1"/>
    <n v="714180"/>
    <x v="3"/>
    <x v="11"/>
    <n v="4.9751243781094526E-3"/>
    <n v="0"/>
    <n v="0"/>
    <n v="0"/>
    <x v="3"/>
    <n v="0.54833333333333334"/>
    <n v="0"/>
    <x v="15"/>
    <n v="-1"/>
    <n v="-714180"/>
    <n v="-1"/>
  </r>
  <r>
    <x v="3"/>
    <x v="11"/>
    <x v="112"/>
    <n v="1"/>
    <n v="1"/>
    <n v="714180"/>
    <x v="3"/>
    <x v="11"/>
    <n v="4.9751243781094526E-3"/>
    <n v="1"/>
    <n v="1"/>
    <n v="721090"/>
    <x v="3"/>
    <n v="0.54833333333333334"/>
    <n v="3.0395136778115501E-3"/>
    <x v="16"/>
    <n v="0"/>
    <n v="6910"/>
    <n v="9.6754319639306609E-3"/>
  </r>
  <r>
    <x v="3"/>
    <x v="11"/>
    <x v="113"/>
    <n v="2"/>
    <n v="2"/>
    <n v="1550770"/>
    <x v="3"/>
    <x v="11"/>
    <n v="9.9502487562189053E-3"/>
    <n v="4"/>
    <n v="4"/>
    <n v="2978090"/>
    <x v="3"/>
    <n v="0.54833333333333334"/>
    <n v="1.2158054711246201E-2"/>
    <x v="17"/>
    <n v="1"/>
    <n v="1427320"/>
    <n v="0.92039438472500756"/>
  </r>
  <r>
    <x v="3"/>
    <x v="11"/>
    <x v="114"/>
    <n v="1"/>
    <n v="1"/>
    <n v="819000"/>
    <x v="3"/>
    <x v="11"/>
    <n v="4.9751243781094526E-3"/>
    <n v="2"/>
    <n v="2"/>
    <n v="1522360"/>
    <x v="3"/>
    <n v="0.54833333333333334"/>
    <n v="6.0790273556231003E-3"/>
    <x v="13"/>
    <n v="1"/>
    <n v="703360"/>
    <n v="0.85880341880341882"/>
  </r>
  <r>
    <x v="3"/>
    <x v="11"/>
    <x v="115"/>
    <n v="1"/>
    <n v="1"/>
    <n v="819000"/>
    <x v="3"/>
    <x v="11"/>
    <n v="4.9751243781094526E-3"/>
    <n v="2"/>
    <n v="2"/>
    <n v="1541230"/>
    <x v="3"/>
    <n v="0.54833333333333334"/>
    <n v="6.0790273556231003E-3"/>
    <x v="13"/>
    <n v="1"/>
    <n v="722230"/>
    <n v="0.8818437118437118"/>
  </r>
  <r>
    <x v="3"/>
    <x v="11"/>
    <x v="116"/>
    <n v="3"/>
    <n v="3"/>
    <n v="2330530"/>
    <x v="3"/>
    <x v="11"/>
    <n v="1.4925373134328358E-2"/>
    <n v="1"/>
    <n v="1"/>
    <n v="770590"/>
    <x v="3"/>
    <n v="0.54833333333333334"/>
    <n v="3.0395136778115501E-3"/>
    <x v="14"/>
    <n v="-0.66666666666666663"/>
    <n v="-1559940"/>
    <n v="-0.66934989036828529"/>
  </r>
  <r>
    <x v="3"/>
    <x v="11"/>
    <x v="117"/>
    <n v="1"/>
    <n v="1"/>
    <n v="770610"/>
    <x v="3"/>
    <x v="11"/>
    <n v="4.9751243781094526E-3"/>
    <n v="3"/>
    <n v="3"/>
    <n v="2316380"/>
    <x v="3"/>
    <n v="0.54833333333333334"/>
    <n v="9.11854103343465E-3"/>
    <x v="17"/>
    <n v="2"/>
    <n v="1545770"/>
    <n v="2.0059044133867974"/>
  </r>
  <r>
    <x v="3"/>
    <x v="12"/>
    <x v="118"/>
    <n v="6"/>
    <n v="6"/>
    <n v="2696720"/>
    <x v="3"/>
    <x v="12"/>
    <n v="3.8216560509554139E-2"/>
    <n v="2"/>
    <n v="2"/>
    <n v="953830"/>
    <x v="3"/>
    <n v="0.25833333333333336"/>
    <n v="1.2903225806451613E-2"/>
    <x v="18"/>
    <n v="-0.66666666666666663"/>
    <n v="-1742890"/>
    <n v="-0.64629994956836456"/>
  </r>
  <r>
    <x v="3"/>
    <x v="12"/>
    <x v="119"/>
    <n v="6"/>
    <n v="6"/>
    <n v="2889440"/>
    <x v="3"/>
    <x v="12"/>
    <n v="3.8216560509554139E-2"/>
    <n v="1"/>
    <n v="1"/>
    <n v="478910"/>
    <x v="3"/>
    <n v="0.25833333333333336"/>
    <n v="6.4516129032258064E-3"/>
    <x v="25"/>
    <n v="-0.83333333333333337"/>
    <n v="-2410530"/>
    <n v="-0.83425508056924524"/>
  </r>
  <r>
    <x v="3"/>
    <x v="12"/>
    <x v="120"/>
    <n v="3"/>
    <n v="3"/>
    <n v="1197210"/>
    <x v="3"/>
    <x v="12"/>
    <n v="1.9108280254777069E-2"/>
    <n v="2"/>
    <n v="2"/>
    <n v="909920"/>
    <x v="3"/>
    <n v="0.25833333333333336"/>
    <n v="1.2903225806451613E-2"/>
    <x v="15"/>
    <n v="-0.33333333333333331"/>
    <n v="-287290"/>
    <n v="-0.23996625487591985"/>
  </r>
  <r>
    <x v="3"/>
    <x v="12"/>
    <x v="121"/>
    <n v="27"/>
    <n v="33"/>
    <n v="15547740"/>
    <x v="3"/>
    <x v="12"/>
    <n v="0.21019108280254778"/>
    <n v="17"/>
    <n v="18"/>
    <n v="8528670"/>
    <x v="3"/>
    <n v="0.25833333333333336"/>
    <n v="0.11612903225806452"/>
    <x v="32"/>
    <n v="-0.45454545454545453"/>
    <n v="-7019070"/>
    <n v="-0.45145275133234797"/>
  </r>
  <r>
    <x v="3"/>
    <x v="12"/>
    <x v="122"/>
    <n v="10"/>
    <n v="10"/>
    <n v="4901900"/>
    <x v="3"/>
    <x v="12"/>
    <n v="6.3694267515923567E-2"/>
    <n v="9"/>
    <n v="9"/>
    <n v="4394260"/>
    <x v="3"/>
    <n v="0.25833333333333336"/>
    <n v="5.8064516129032261E-2"/>
    <x v="15"/>
    <n v="-0.1"/>
    <n v="-507640"/>
    <n v="-0.10355984414206736"/>
  </r>
  <r>
    <x v="3"/>
    <x v="12"/>
    <x v="123"/>
    <n v="6"/>
    <n v="6"/>
    <n v="3004830"/>
    <x v="3"/>
    <x v="12"/>
    <n v="3.8216560509554139E-2"/>
    <n v="5"/>
    <n v="5"/>
    <n v="2469850"/>
    <x v="3"/>
    <n v="0.25833333333333336"/>
    <n v="3.2258064516129031E-2"/>
    <x v="15"/>
    <n v="-0.16666666666666666"/>
    <n v="-534980"/>
    <n v="-0.17804002223087495"/>
  </r>
  <r>
    <x v="3"/>
    <x v="12"/>
    <x v="124"/>
    <n v="1"/>
    <n v="1"/>
    <n v="398080"/>
    <x v="3"/>
    <x v="12"/>
    <n v="6.369426751592357E-3"/>
    <n v="3"/>
    <n v="3"/>
    <n v="1423920"/>
    <x v="3"/>
    <n v="0.25833333333333336"/>
    <n v="1.935483870967742E-2"/>
    <x v="17"/>
    <n v="2"/>
    <n v="1025840"/>
    <n v="2.576969453376206"/>
  </r>
  <r>
    <x v="3"/>
    <x v="12"/>
    <x v="125"/>
    <n v="41"/>
    <n v="44"/>
    <n v="21170400"/>
    <x v="3"/>
    <x v="12"/>
    <n v="0.28025477707006369"/>
    <n v="55"/>
    <n v="57"/>
    <n v="27461450"/>
    <x v="3"/>
    <n v="0.25833333333333336"/>
    <n v="0.36774193548387096"/>
    <x v="33"/>
    <n v="0.29545454545454547"/>
    <n v="6291050"/>
    <n v="0.29716254770812078"/>
  </r>
  <r>
    <x v="3"/>
    <x v="12"/>
    <x v="126"/>
    <n v="1"/>
    <n v="1"/>
    <n v="498530"/>
    <x v="3"/>
    <x v="12"/>
    <n v="6.369426751592357E-3"/>
    <n v="6"/>
    <n v="7"/>
    <n v="3548280"/>
    <x v="3"/>
    <n v="0.25833333333333336"/>
    <n v="4.5161290322580643E-2"/>
    <x v="24"/>
    <n v="6"/>
    <n v="3049750"/>
    <n v="6.1174854070968649"/>
  </r>
  <r>
    <x v="3"/>
    <x v="12"/>
    <x v="127"/>
    <n v="2"/>
    <n v="2"/>
    <n v="978480"/>
    <x v="3"/>
    <x v="12"/>
    <n v="1.2738853503184714E-2"/>
    <n v="1"/>
    <n v="1"/>
    <n v="541000"/>
    <x v="3"/>
    <n v="0.25833333333333336"/>
    <n v="6.4516129032258064E-3"/>
    <x v="15"/>
    <n v="-0.5"/>
    <n v="-437480"/>
    <n v="-0.44710162701332679"/>
  </r>
  <r>
    <x v="3"/>
    <x v="12"/>
    <x v="128"/>
    <n v="5"/>
    <n v="5"/>
    <n v="2521290"/>
    <x v="3"/>
    <x v="12"/>
    <n v="3.1847133757961783E-2"/>
    <n v="2"/>
    <n v="2"/>
    <n v="1014960"/>
    <x v="3"/>
    <n v="0.25833333333333336"/>
    <n v="1.2903225806451613E-2"/>
    <x v="12"/>
    <n v="-0.6"/>
    <n v="-1506330"/>
    <n v="-0.59744416548671508"/>
  </r>
  <r>
    <x v="3"/>
    <x v="12"/>
    <x v="129"/>
    <n v="15"/>
    <n v="15"/>
    <n v="7269800"/>
    <x v="3"/>
    <x v="12"/>
    <n v="9.5541401273885357E-2"/>
    <n v="23"/>
    <n v="23"/>
    <n v="11504740"/>
    <x v="3"/>
    <n v="0.25833333333333336"/>
    <n v="0.14838709677419354"/>
    <x v="22"/>
    <n v="0.53333333333333333"/>
    <n v="4234940"/>
    <n v="0.58253872183553879"/>
  </r>
  <r>
    <x v="3"/>
    <x v="12"/>
    <x v="130"/>
    <n v="2"/>
    <n v="2"/>
    <n v="955370"/>
    <x v="3"/>
    <x v="12"/>
    <n v="1.2738853503184714E-2"/>
    <n v="1"/>
    <n v="1"/>
    <n v="510220"/>
    <x v="3"/>
    <n v="0.25833333333333336"/>
    <n v="6.4516129032258064E-3"/>
    <x v="15"/>
    <n v="-0.5"/>
    <n v="-445150"/>
    <n v="-0.46594513120571085"/>
  </r>
  <r>
    <x v="3"/>
    <x v="12"/>
    <x v="131"/>
    <n v="0"/>
    <n v="0"/>
    <n v="0"/>
    <x v="3"/>
    <x v="12"/>
    <n v="0"/>
    <n v="2"/>
    <n v="2"/>
    <n v="945160"/>
    <x v="3"/>
    <n v="0.25833333333333336"/>
    <n v="1.2903225806451613E-2"/>
    <x v="17"/>
    <n v="1"/>
    <n v="945160"/>
    <n v="1"/>
  </r>
  <r>
    <x v="3"/>
    <x v="12"/>
    <x v="132"/>
    <n v="0"/>
    <n v="0"/>
    <n v="0"/>
    <x v="3"/>
    <x v="12"/>
    <n v="0"/>
    <n v="3"/>
    <n v="4"/>
    <n v="1933530"/>
    <x v="3"/>
    <n v="0.25833333333333336"/>
    <n v="2.5806451612903226E-2"/>
    <x v="20"/>
    <n v="1"/>
    <n v="1933530"/>
    <n v="1"/>
  </r>
  <r>
    <x v="3"/>
    <x v="12"/>
    <x v="133"/>
    <n v="8"/>
    <n v="8"/>
    <n v="3932550"/>
    <x v="3"/>
    <x v="12"/>
    <n v="5.0955414012738856E-2"/>
    <n v="4"/>
    <n v="4"/>
    <n v="1999610"/>
    <x v="3"/>
    <n v="0.25833333333333336"/>
    <n v="2.5806451612903226E-2"/>
    <x v="18"/>
    <n v="-0.5"/>
    <n v="-1932940"/>
    <n v="-0.49152331184600323"/>
  </r>
  <r>
    <x v="3"/>
    <x v="12"/>
    <x v="134"/>
    <n v="4"/>
    <n v="4"/>
    <n v="2029220"/>
    <x v="3"/>
    <x v="12"/>
    <n v="2.5477707006369428E-2"/>
    <n v="0"/>
    <n v="0"/>
    <n v="0"/>
    <x v="3"/>
    <n v="0.25833333333333336"/>
    <n v="0"/>
    <x v="18"/>
    <n v="-1"/>
    <n v="-2029220"/>
    <n v="-1"/>
  </r>
  <r>
    <x v="3"/>
    <x v="12"/>
    <x v="135"/>
    <n v="1"/>
    <n v="1"/>
    <n v="529620"/>
    <x v="3"/>
    <x v="12"/>
    <n v="6.369426751592357E-3"/>
    <n v="0"/>
    <n v="0"/>
    <n v="0"/>
    <x v="3"/>
    <n v="0.25833333333333336"/>
    <n v="0"/>
    <x v="15"/>
    <n v="-1"/>
    <n v="-529620"/>
    <n v="-1"/>
  </r>
  <r>
    <x v="3"/>
    <x v="12"/>
    <x v="136"/>
    <n v="1"/>
    <n v="1"/>
    <n v="499610"/>
    <x v="3"/>
    <x v="12"/>
    <n v="6.369426751592357E-3"/>
    <n v="0"/>
    <n v="0"/>
    <n v="0"/>
    <x v="3"/>
    <n v="0.25833333333333336"/>
    <n v="0"/>
    <x v="15"/>
    <n v="-1"/>
    <n v="-499610"/>
    <n v="-1"/>
  </r>
  <r>
    <x v="3"/>
    <x v="12"/>
    <x v="137"/>
    <n v="6"/>
    <n v="6"/>
    <n v="2937640"/>
    <x v="3"/>
    <x v="12"/>
    <n v="3.8216560509554139E-2"/>
    <n v="7"/>
    <n v="7"/>
    <n v="3528280"/>
    <x v="3"/>
    <n v="0.25833333333333336"/>
    <n v="4.5161290322580643E-2"/>
    <x v="13"/>
    <n v="0.16666666666666666"/>
    <n v="590640"/>
    <n v="0.2010593537669694"/>
  </r>
  <r>
    <x v="3"/>
    <x v="12"/>
    <x v="138"/>
    <n v="1"/>
    <n v="1"/>
    <n v="498770"/>
    <x v="3"/>
    <x v="12"/>
    <n v="6.369426751592357E-3"/>
    <n v="2"/>
    <n v="2"/>
    <n v="1066290"/>
    <x v="3"/>
    <n v="0.25833333333333336"/>
    <n v="1.2903225806451613E-2"/>
    <x v="13"/>
    <n v="1"/>
    <n v="567520"/>
    <n v="1.1378390841470016"/>
  </r>
  <r>
    <x v="3"/>
    <x v="12"/>
    <x v="139"/>
    <n v="0"/>
    <n v="0"/>
    <n v="0"/>
    <x v="3"/>
    <x v="12"/>
    <n v="0"/>
    <n v="1"/>
    <n v="1"/>
    <n v="525030"/>
    <x v="3"/>
    <n v="0.25833333333333336"/>
    <n v="6.4516129032258064E-3"/>
    <x v="13"/>
    <n v="1"/>
    <n v="525030"/>
    <n v="1"/>
  </r>
  <r>
    <x v="3"/>
    <x v="12"/>
    <x v="140"/>
    <n v="2"/>
    <n v="2"/>
    <n v="1009660"/>
    <x v="3"/>
    <x v="12"/>
    <n v="1.2738853503184714E-2"/>
    <n v="4"/>
    <n v="4"/>
    <n v="1989120"/>
    <x v="3"/>
    <n v="0.25833333333333336"/>
    <n v="2.5806451612903226E-2"/>
    <x v="17"/>
    <n v="1"/>
    <n v="979460"/>
    <n v="0.97008894083156705"/>
  </r>
  <r>
    <x v="4"/>
    <x v="13"/>
    <x v="141"/>
    <n v="0"/>
    <n v="0"/>
    <n v="0"/>
    <x v="4"/>
    <x v="13"/>
    <n v="0"/>
    <n v="1"/>
    <n v="8"/>
    <n v="1595760"/>
    <x v="4"/>
    <n v="8.8435374149659865E-2"/>
    <n v="0.61538461538461542"/>
    <x v="22"/>
    <n v="1"/>
    <n v="1595760"/>
    <n v="1"/>
  </r>
  <r>
    <x v="4"/>
    <x v="13"/>
    <x v="142"/>
    <n v="1"/>
    <n v="1"/>
    <n v="179710"/>
    <x v="4"/>
    <x v="13"/>
    <n v="1"/>
    <n v="4"/>
    <n v="5"/>
    <n v="752980"/>
    <x v="4"/>
    <n v="8.8435374149659865E-2"/>
    <n v="0.38461538461538464"/>
    <x v="20"/>
    <n v="4"/>
    <n v="573270"/>
    <n v="3.1899727338489789"/>
  </r>
  <r>
    <x v="4"/>
    <x v="14"/>
    <x v="143"/>
    <n v="92"/>
    <n v="96"/>
    <n v="23090280"/>
    <x v="4"/>
    <x v="14"/>
    <n v="0.47290640394088668"/>
    <n v="68"/>
    <n v="70"/>
    <n v="16728670"/>
    <x v="4"/>
    <n v="0.91156462585034015"/>
    <n v="0.52238805970149249"/>
    <x v="34"/>
    <n v="-0.27083333333333331"/>
    <n v="-6361610"/>
    <n v="-0.27551030130427173"/>
  </r>
  <r>
    <x v="4"/>
    <x v="14"/>
    <x v="144"/>
    <n v="106"/>
    <n v="107"/>
    <n v="23523930"/>
    <x v="4"/>
    <x v="14"/>
    <n v="0.52709359605911332"/>
    <n v="64"/>
    <n v="64"/>
    <n v="14087040"/>
    <x v="4"/>
    <n v="0.91156462585034015"/>
    <n v="0.47761194029850745"/>
    <x v="35"/>
    <n v="-0.40186915887850466"/>
    <n v="-9436890"/>
    <n v="-0.40116128555050112"/>
  </r>
  <r>
    <x v="5"/>
    <x v="15"/>
    <x v="145"/>
    <n v="16"/>
    <n v="17"/>
    <n v="1499430"/>
    <x v="5"/>
    <x v="15"/>
    <n v="1"/>
    <n v="24"/>
    <n v="24"/>
    <n v="1878350"/>
    <x v="5"/>
    <n v="5.3571428571428568E-2"/>
    <n v="1"/>
    <x v="28"/>
    <n v="0.41176470588235292"/>
    <n v="378920"/>
    <n v="0.25270936289123203"/>
  </r>
  <r>
    <x v="5"/>
    <x v="16"/>
    <x v="146"/>
    <n v="51"/>
    <n v="56"/>
    <n v="6734820"/>
    <x v="5"/>
    <x v="16"/>
    <n v="0.13333333333333333"/>
    <n v="35"/>
    <n v="41"/>
    <n v="4934130"/>
    <x v="5"/>
    <n v="0.6674107142857143"/>
    <n v="0.13712374581939799"/>
    <x v="32"/>
    <n v="-0.26785714285714285"/>
    <n v="-1800690"/>
    <n v="-0.26737017470400098"/>
  </r>
  <r>
    <x v="5"/>
    <x v="16"/>
    <x v="147"/>
    <n v="299"/>
    <n v="364"/>
    <n v="40485510"/>
    <x v="5"/>
    <x v="16"/>
    <n v="0.8666666666666667"/>
    <n v="233"/>
    <n v="258"/>
    <n v="28121350"/>
    <x v="5"/>
    <n v="0.6674107142857143"/>
    <n v="0.86287625418060199"/>
    <x v="36"/>
    <n v="-0.29120879120879123"/>
    <n v="-12364160"/>
    <n v="-0.30539716555379937"/>
  </r>
  <r>
    <x v="5"/>
    <x v="17"/>
    <x v="148"/>
    <n v="4"/>
    <n v="4"/>
    <n v="397580"/>
    <x v="5"/>
    <x v="17"/>
    <n v="4.5454545454545456E-2"/>
    <n v="2"/>
    <n v="2"/>
    <n v="192050"/>
    <x v="5"/>
    <n v="0.21875"/>
    <n v="2.0408163265306121E-2"/>
    <x v="14"/>
    <n v="-0.5"/>
    <n v="-205530"/>
    <n v="-0.51695256300618742"/>
  </r>
  <r>
    <x v="5"/>
    <x v="17"/>
    <x v="149"/>
    <n v="76"/>
    <n v="84"/>
    <n v="11458820"/>
    <x v="5"/>
    <x v="17"/>
    <n v="0.95454545454545459"/>
    <n v="91"/>
    <n v="96"/>
    <n v="13070600"/>
    <x v="5"/>
    <n v="0.21875"/>
    <n v="0.97959183673469385"/>
    <x v="27"/>
    <n v="0.14285714285714285"/>
    <n v="1611780"/>
    <n v="0.14065846221513209"/>
  </r>
  <r>
    <x v="5"/>
    <x v="18"/>
    <x v="150"/>
    <n v="37"/>
    <n v="40"/>
    <n v="6318010"/>
    <x v="5"/>
    <x v="18"/>
    <n v="1"/>
    <n v="26"/>
    <n v="27"/>
    <n v="4200740"/>
    <x v="5"/>
    <n v="6.0267857142857144E-2"/>
    <n v="1"/>
    <x v="37"/>
    <n v="-0.32500000000000001"/>
    <n v="-2117270"/>
    <n v="-0.3351165952570509"/>
  </r>
  <r>
    <x v="6"/>
    <x v="19"/>
    <x v="151"/>
    <n v="44"/>
    <n v="48"/>
    <n v="1796310"/>
    <x v="6"/>
    <x v="19"/>
    <n v="2.6726057906458798E-2"/>
    <n v="44"/>
    <n v="46"/>
    <n v="1748330"/>
    <x v="6"/>
    <n v="1"/>
    <n v="3.2554847841472043E-2"/>
    <x v="14"/>
    <n v="-4.1666666666666664E-2"/>
    <n v="-47980"/>
    <n v="-2.6710311694529341E-2"/>
  </r>
  <r>
    <x v="6"/>
    <x v="19"/>
    <x v="152"/>
    <n v="1"/>
    <n v="1"/>
    <n v="72740"/>
    <x v="6"/>
    <x v="19"/>
    <n v="5.5679287305122492E-4"/>
    <n v="0"/>
    <n v="0"/>
    <n v="0"/>
    <x v="6"/>
    <n v="1"/>
    <n v="0"/>
    <x v="15"/>
    <n v="-1"/>
    <n v="-72740"/>
    <n v="-1"/>
  </r>
  <r>
    <x v="6"/>
    <x v="19"/>
    <x v="153"/>
    <n v="0"/>
    <n v="0"/>
    <n v="0"/>
    <x v="6"/>
    <x v="19"/>
    <n v="0"/>
    <n v="0"/>
    <n v="0"/>
    <n v="0"/>
    <x v="6"/>
    <n v="1"/>
    <n v="0"/>
    <x v="16"/>
    <n v="0"/>
    <n v="0"/>
    <n v="0"/>
  </r>
  <r>
    <x v="6"/>
    <x v="19"/>
    <x v="154"/>
    <n v="12"/>
    <n v="16"/>
    <n v="859280"/>
    <x v="6"/>
    <x v="19"/>
    <n v="8.9086859688195987E-3"/>
    <n v="11"/>
    <n v="15"/>
    <n v="781810"/>
    <x v="6"/>
    <n v="1"/>
    <n v="1.0615711252653927E-2"/>
    <x v="15"/>
    <n v="-6.25E-2"/>
    <n v="-77470"/>
    <n v="-9.0156875523694252E-2"/>
  </r>
  <r>
    <x v="6"/>
    <x v="19"/>
    <x v="155"/>
    <n v="0"/>
    <n v="0"/>
    <n v="0"/>
    <x v="6"/>
    <x v="19"/>
    <n v="0"/>
    <n v="1"/>
    <n v="1"/>
    <n v="417100"/>
    <x v="6"/>
    <n v="1"/>
    <n v="7.0771408351026188E-4"/>
    <x v="13"/>
    <n v="1"/>
    <n v="417100"/>
    <n v="1"/>
  </r>
  <r>
    <x v="6"/>
    <x v="19"/>
    <x v="156"/>
    <n v="350"/>
    <n v="495"/>
    <n v="2900595"/>
    <x v="6"/>
    <x v="19"/>
    <n v="0.27561247216035634"/>
    <n v="305"/>
    <n v="412"/>
    <n v="2414690"/>
    <x v="6"/>
    <n v="1"/>
    <n v="0.29157820240622789"/>
    <x v="38"/>
    <n v="-0.16767676767676767"/>
    <n v="-485905"/>
    <n v="-0.16751907798227605"/>
  </r>
  <r>
    <x v="6"/>
    <x v="19"/>
    <x v="157"/>
    <n v="60"/>
    <n v="73"/>
    <n v="925330"/>
    <x v="6"/>
    <x v="19"/>
    <n v="4.0645879732739421E-2"/>
    <n v="49"/>
    <n v="59"/>
    <n v="746580"/>
    <x v="6"/>
    <n v="1"/>
    <n v="4.1755130927105449E-2"/>
    <x v="7"/>
    <n v="-0.19178082191780821"/>
    <n v="-178750"/>
    <n v="-0.19317432699685519"/>
  </r>
  <r>
    <x v="6"/>
    <x v="19"/>
    <x v="158"/>
    <n v="111"/>
    <n v="124"/>
    <n v="2408640"/>
    <x v="6"/>
    <x v="19"/>
    <n v="6.9042316258351888E-2"/>
    <n v="66"/>
    <n v="82"/>
    <n v="1600280"/>
    <x v="6"/>
    <n v="1"/>
    <n v="5.8032554847841471E-2"/>
    <x v="39"/>
    <n v="-0.33870967741935482"/>
    <n v="-808360"/>
    <n v="-0.3356084761525176"/>
  </r>
  <r>
    <x v="6"/>
    <x v="19"/>
    <x v="159"/>
    <n v="34"/>
    <n v="38"/>
    <n v="1833420"/>
    <x v="6"/>
    <x v="19"/>
    <n v="2.1158129175946547E-2"/>
    <n v="31"/>
    <n v="35"/>
    <n v="1686620"/>
    <x v="6"/>
    <n v="1"/>
    <n v="2.4769992922859165E-2"/>
    <x v="12"/>
    <n v="-7.8947368421052627E-2"/>
    <n v="-146800"/>
    <n v="-8.0068942195459847E-2"/>
  </r>
  <r>
    <x v="6"/>
    <x v="19"/>
    <x v="160"/>
    <n v="15"/>
    <n v="16"/>
    <n v="455140"/>
    <x v="6"/>
    <x v="19"/>
    <n v="8.9086859688195987E-3"/>
    <n v="6"/>
    <n v="6"/>
    <n v="172510"/>
    <x v="6"/>
    <n v="1"/>
    <n v="4.246284501061571E-3"/>
    <x v="40"/>
    <n v="-0.625"/>
    <n v="-282630"/>
    <n v="-0.62097376631366175"/>
  </r>
  <r>
    <x v="6"/>
    <x v="19"/>
    <x v="161"/>
    <n v="15"/>
    <n v="23"/>
    <n v="248300"/>
    <x v="6"/>
    <x v="19"/>
    <n v="1.2806236080178173E-2"/>
    <n v="4"/>
    <n v="5"/>
    <n v="58060"/>
    <x v="6"/>
    <n v="1"/>
    <n v="3.5385704175513091E-3"/>
    <x v="41"/>
    <n v="-0.78260869565217395"/>
    <n v="-190240"/>
    <n v="-0.76616995569875146"/>
  </r>
  <r>
    <x v="6"/>
    <x v="19"/>
    <x v="162"/>
    <n v="93"/>
    <n v="100"/>
    <n v="2400525"/>
    <x v="6"/>
    <x v="19"/>
    <n v="5.5679287305122498E-2"/>
    <n v="35"/>
    <n v="38"/>
    <n v="913620"/>
    <x v="6"/>
    <n v="1"/>
    <n v="2.689313517338995E-2"/>
    <x v="42"/>
    <n v="-0.62"/>
    <n v="-1486905"/>
    <n v="-0.61940825444434033"/>
  </r>
  <r>
    <x v="6"/>
    <x v="19"/>
    <x v="163"/>
    <n v="98"/>
    <n v="120"/>
    <n v="1397630"/>
    <x v="6"/>
    <x v="19"/>
    <n v="6.6815144766147E-2"/>
    <n v="45"/>
    <n v="52"/>
    <n v="610780"/>
    <x v="6"/>
    <n v="1"/>
    <n v="3.680113234253362E-2"/>
    <x v="43"/>
    <n v="-0.56666666666666665"/>
    <n v="-786850"/>
    <n v="-0.56298877385287949"/>
  </r>
  <r>
    <x v="6"/>
    <x v="19"/>
    <x v="164"/>
    <n v="64"/>
    <n v="85"/>
    <n v="609520"/>
    <x v="6"/>
    <x v="19"/>
    <n v="4.7327394209354119E-2"/>
    <n v="35"/>
    <n v="51"/>
    <n v="370405"/>
    <x v="6"/>
    <n v="1"/>
    <n v="3.6093418259023353E-2"/>
    <x v="44"/>
    <n v="-0.4"/>
    <n v="-239115"/>
    <n v="-0.39230049875311723"/>
  </r>
  <r>
    <x v="6"/>
    <x v="19"/>
    <x v="165"/>
    <n v="3"/>
    <n v="3"/>
    <n v="29070"/>
    <x v="6"/>
    <x v="19"/>
    <n v="1.6703786191536749E-3"/>
    <n v="4"/>
    <n v="5"/>
    <n v="49390"/>
    <x v="6"/>
    <n v="1"/>
    <n v="3.5385704175513091E-3"/>
    <x v="17"/>
    <n v="0.66666666666666663"/>
    <n v="20320"/>
    <n v="0.69900240798073621"/>
  </r>
  <r>
    <x v="6"/>
    <x v="19"/>
    <x v="166"/>
    <n v="44"/>
    <n v="81"/>
    <n v="947420"/>
    <x v="6"/>
    <x v="19"/>
    <n v="4.5100222717149217E-2"/>
    <n v="55"/>
    <n v="103"/>
    <n v="1196950"/>
    <x v="6"/>
    <n v="1"/>
    <n v="7.2894550601556973E-2"/>
    <x v="45"/>
    <n v="0.27160493827160492"/>
    <n v="249530"/>
    <n v="0.26337843828502672"/>
  </r>
  <r>
    <x v="6"/>
    <x v="19"/>
    <x v="167"/>
    <n v="23"/>
    <n v="43"/>
    <n v="1662590"/>
    <x v="6"/>
    <x v="19"/>
    <n v="2.3942093541202674E-2"/>
    <n v="19"/>
    <n v="20"/>
    <n v="781190"/>
    <x v="6"/>
    <n v="1"/>
    <n v="1.4154281670205236E-2"/>
    <x v="46"/>
    <n v="-0.53488372093023251"/>
    <n v="-881400"/>
    <n v="-0.5301367144034308"/>
  </r>
  <r>
    <x v="6"/>
    <x v="19"/>
    <x v="168"/>
    <n v="0"/>
    <n v="-1"/>
    <n v="-10400"/>
    <x v="6"/>
    <x v="19"/>
    <n v="-5.5679287305122492E-4"/>
    <n v="2"/>
    <n v="3"/>
    <n v="28800"/>
    <x v="6"/>
    <n v="1"/>
    <n v="2.1231422505307855E-3"/>
    <x v="20"/>
    <n v="-4"/>
    <n v="39200"/>
    <n v="-3.7692307692307692"/>
  </r>
  <r>
    <x v="6"/>
    <x v="19"/>
    <x v="169"/>
    <n v="13"/>
    <n v="14"/>
    <n v="136200"/>
    <x v="6"/>
    <x v="19"/>
    <n v="7.7951002227171495E-3"/>
    <n v="9"/>
    <n v="9"/>
    <n v="80720"/>
    <x v="6"/>
    <n v="1"/>
    <n v="6.369426751592357E-3"/>
    <x v="25"/>
    <n v="-0.35714285714285715"/>
    <n v="-55480"/>
    <n v="-0.40734214390602058"/>
  </r>
  <r>
    <x v="6"/>
    <x v="19"/>
    <x v="170"/>
    <n v="3"/>
    <n v="3"/>
    <n v="29400"/>
    <x v="6"/>
    <x v="19"/>
    <n v="1.6703786191536749E-3"/>
    <n v="7"/>
    <n v="8"/>
    <n v="77400"/>
    <x v="6"/>
    <n v="1"/>
    <n v="5.661712668082095E-3"/>
    <x v="47"/>
    <n v="1.6666666666666667"/>
    <n v="48000"/>
    <n v="1.6326530612244898"/>
  </r>
  <r>
    <x v="6"/>
    <x v="19"/>
    <x v="171"/>
    <n v="13"/>
    <n v="14"/>
    <n v="137100"/>
    <x v="6"/>
    <x v="19"/>
    <n v="7.7951002227171495E-3"/>
    <n v="15"/>
    <n v="17"/>
    <n v="166800"/>
    <x v="6"/>
    <n v="1"/>
    <n v="1.2031139419674451E-2"/>
    <x v="11"/>
    <n v="0.21428571428571427"/>
    <n v="29700"/>
    <n v="0.21663019693654267"/>
  </r>
  <r>
    <x v="6"/>
    <x v="19"/>
    <x v="172"/>
    <n v="0"/>
    <n v="0"/>
    <n v="0"/>
    <x v="6"/>
    <x v="19"/>
    <n v="0"/>
    <n v="0"/>
    <n v="0"/>
    <n v="0"/>
    <x v="6"/>
    <n v="1"/>
    <n v="0"/>
    <x v="16"/>
    <n v="0"/>
    <n v="0"/>
    <n v="0"/>
  </r>
  <r>
    <x v="6"/>
    <x v="19"/>
    <x v="173"/>
    <n v="2"/>
    <n v="2"/>
    <n v="19690"/>
    <x v="6"/>
    <x v="19"/>
    <n v="1.1135857461024498E-3"/>
    <n v="4"/>
    <n v="4"/>
    <n v="39090"/>
    <x v="6"/>
    <n v="1"/>
    <n v="2.8308563340410475E-3"/>
    <x v="17"/>
    <n v="1"/>
    <n v="19400"/>
    <n v="0.98527171152869475"/>
  </r>
  <r>
    <x v="6"/>
    <x v="19"/>
    <x v="174"/>
    <n v="21"/>
    <n v="26"/>
    <n v="328810"/>
    <x v="6"/>
    <x v="19"/>
    <n v="1.4476614699331848E-2"/>
    <n v="22"/>
    <n v="26"/>
    <n v="330910"/>
    <x v="6"/>
    <n v="1"/>
    <n v="1.840056617126681E-2"/>
    <x v="16"/>
    <n v="0"/>
    <n v="2100"/>
    <n v="6.3866670721693377E-3"/>
  </r>
  <r>
    <x v="6"/>
    <x v="19"/>
    <x v="175"/>
    <n v="4"/>
    <n v="4"/>
    <n v="127030"/>
    <x v="6"/>
    <x v="19"/>
    <n v="2.2271714922048997E-3"/>
    <n v="5"/>
    <n v="5"/>
    <n v="158710"/>
    <x v="6"/>
    <n v="1"/>
    <n v="3.5385704175513091E-3"/>
    <x v="13"/>
    <n v="0.25"/>
    <n v="31680"/>
    <n v="0.24938990789577264"/>
  </r>
  <r>
    <x v="6"/>
    <x v="19"/>
    <x v="176"/>
    <n v="76"/>
    <n v="85"/>
    <n v="2481530"/>
    <x v="6"/>
    <x v="19"/>
    <n v="4.7327394209354119E-2"/>
    <n v="59"/>
    <n v="63"/>
    <n v="1787670"/>
    <x v="6"/>
    <n v="1"/>
    <n v="4.4585987261146494E-2"/>
    <x v="48"/>
    <n v="-0.25882352941176473"/>
    <n v="-693860"/>
    <n v="-0.27960975688385792"/>
  </r>
  <r>
    <x v="6"/>
    <x v="19"/>
    <x v="177"/>
    <n v="76"/>
    <n v="84"/>
    <n v="4737760"/>
    <x v="6"/>
    <x v="19"/>
    <n v="4.6770601336302897E-2"/>
    <n v="74"/>
    <n v="94"/>
    <n v="5325470"/>
    <x v="6"/>
    <n v="1"/>
    <n v="6.6525123849964618E-2"/>
    <x v="49"/>
    <n v="0.11904761904761904"/>
    <n v="587710"/>
    <n v="0.12404807335111952"/>
  </r>
  <r>
    <x v="6"/>
    <x v="19"/>
    <x v="178"/>
    <n v="6"/>
    <n v="7"/>
    <n v="104560"/>
    <x v="6"/>
    <x v="19"/>
    <n v="3.8975501113585748E-3"/>
    <n v="3"/>
    <n v="3"/>
    <n v="48480"/>
    <x v="6"/>
    <n v="1"/>
    <n v="2.1231422505307855E-3"/>
    <x v="18"/>
    <n v="-0.5714285714285714"/>
    <n v="-56080"/>
    <n v="-0.53634276970160677"/>
  </r>
  <r>
    <x v="6"/>
    <x v="19"/>
    <x v="179"/>
    <n v="14"/>
    <n v="17"/>
    <n v="201060"/>
    <x v="6"/>
    <x v="19"/>
    <n v="9.4654788418708242E-3"/>
    <n v="3"/>
    <n v="3"/>
    <n v="34900"/>
    <x v="6"/>
    <n v="1"/>
    <n v="2.1231422505307855E-3"/>
    <x v="7"/>
    <n v="-0.82352941176470584"/>
    <n v="-166160"/>
    <n v="-0.82641997413707347"/>
  </r>
  <r>
    <x v="6"/>
    <x v="19"/>
    <x v="180"/>
    <n v="21"/>
    <n v="47"/>
    <n v="1325830"/>
    <x v="6"/>
    <x v="19"/>
    <n v="2.6169265033407572E-2"/>
    <n v="16"/>
    <n v="34"/>
    <n v="930240"/>
    <x v="6"/>
    <n v="1"/>
    <n v="2.4062278839348902E-2"/>
    <x v="37"/>
    <n v="-0.27659574468085107"/>
    <n v="-395590"/>
    <n v="-0.29837158610078213"/>
  </r>
  <r>
    <x v="6"/>
    <x v="19"/>
    <x v="181"/>
    <n v="34"/>
    <n v="53"/>
    <n v="364610"/>
    <x v="6"/>
    <x v="19"/>
    <n v="2.9510022271714922E-2"/>
    <n v="56"/>
    <n v="91"/>
    <n v="625770"/>
    <x v="6"/>
    <n v="1"/>
    <n v="6.4401981599433833E-2"/>
    <x v="50"/>
    <n v="0.71698113207547165"/>
    <n v="261160"/>
    <n v="0.71627218123474401"/>
  </r>
  <r>
    <x v="6"/>
    <x v="19"/>
    <x v="182"/>
    <n v="41"/>
    <n v="52"/>
    <n v="610220"/>
    <x v="6"/>
    <x v="19"/>
    <n v="2.8953229398663696E-2"/>
    <n v="17"/>
    <n v="22"/>
    <n v="259150"/>
    <x v="6"/>
    <n v="1"/>
    <n v="1.556970983722576E-2"/>
    <x v="51"/>
    <n v="-0.57692307692307687"/>
    <n v="-351070"/>
    <n v="-0.57531709875127002"/>
  </r>
  <r>
    <x v="6"/>
    <x v="19"/>
    <x v="183"/>
    <n v="31"/>
    <n v="63"/>
    <n v="1312750"/>
    <x v="6"/>
    <x v="19"/>
    <n v="3.5077951002227173E-2"/>
    <n v="28"/>
    <n v="49"/>
    <n v="1048950"/>
    <x v="6"/>
    <n v="1"/>
    <n v="3.4677990092002828E-2"/>
    <x v="7"/>
    <n v="-0.22222222222222221"/>
    <n v="-263800"/>
    <n v="-0.20095219958103219"/>
  </r>
  <r>
    <x v="6"/>
    <x v="19"/>
    <x v="184"/>
    <n v="44"/>
    <n v="54"/>
    <n v="629310"/>
    <x v="6"/>
    <x v="19"/>
    <n v="3.0066815144766147E-2"/>
    <n v="27"/>
    <n v="48"/>
    <n v="561870"/>
    <x v="6"/>
    <n v="1"/>
    <n v="3.3970276008492568E-2"/>
    <x v="26"/>
    <n v="-0.1111111111111111"/>
    <n v="-67440"/>
    <n v="-0.1071649902273919"/>
  </r>
  <r>
    <x v="6"/>
    <x v="19"/>
    <x v="185"/>
    <n v="6"/>
    <n v="6"/>
    <n v="539330"/>
    <x v="6"/>
    <x v="19"/>
    <n v="3.3407572383073497E-3"/>
    <n v="4"/>
    <n v="4"/>
    <n v="381200"/>
    <x v="6"/>
    <n v="1"/>
    <n v="2.8308563340410475E-3"/>
    <x v="14"/>
    <n v="-0.33333333333333331"/>
    <n v="-158130"/>
    <n v="-0.29319711493890566"/>
  </r>
  <r>
    <x v="7"/>
    <x v="20"/>
    <x v="186"/>
    <n v="3"/>
    <n v="3"/>
    <n v="323030"/>
    <x v="7"/>
    <x v="20"/>
    <n v="0.6"/>
    <n v="1"/>
    <n v="1"/>
    <n v="114000"/>
    <x v="7"/>
    <n v="1.1029411764705883E-2"/>
    <n v="0.33333333333333331"/>
    <x v="14"/>
    <n v="-0.66666666666666663"/>
    <n v="-209030"/>
    <n v="-0.64709160139925082"/>
  </r>
  <r>
    <x v="7"/>
    <x v="20"/>
    <x v="187"/>
    <n v="2"/>
    <n v="2"/>
    <n v="265300"/>
    <x v="7"/>
    <x v="20"/>
    <n v="0.4"/>
    <n v="2"/>
    <n v="2"/>
    <n v="242750"/>
    <x v="7"/>
    <n v="1.1029411764705883E-2"/>
    <n v="0.66666666666666663"/>
    <x v="16"/>
    <n v="0"/>
    <n v="-22550"/>
    <n v="-8.4998115341123254E-2"/>
  </r>
  <r>
    <x v="7"/>
    <x v="21"/>
    <x v="188"/>
    <n v="3"/>
    <n v="4"/>
    <n v="563220"/>
    <x v="7"/>
    <x v="21"/>
    <n v="1.1940298507462687E-2"/>
    <n v="5"/>
    <n v="13"/>
    <n v="1799820"/>
    <x v="7"/>
    <n v="0.98897058823529416"/>
    <n v="4.8327137546468404E-2"/>
    <x v="23"/>
    <n v="2.25"/>
    <n v="1236600"/>
    <n v="2.1955896452540746"/>
  </r>
  <r>
    <x v="7"/>
    <x v="21"/>
    <x v="189"/>
    <n v="4"/>
    <n v="4"/>
    <n v="606930"/>
    <x v="7"/>
    <x v="21"/>
    <n v="1.1940298507462687E-2"/>
    <n v="0"/>
    <n v="0"/>
    <n v="0"/>
    <x v="7"/>
    <n v="0.98897058823529416"/>
    <n v="0"/>
    <x v="18"/>
    <n v="-1"/>
    <n v="-606930"/>
    <n v="-1"/>
  </r>
  <r>
    <x v="7"/>
    <x v="21"/>
    <x v="190"/>
    <n v="13"/>
    <n v="26"/>
    <n v="3547750"/>
    <x v="7"/>
    <x v="21"/>
    <n v="7.7611940298507459E-2"/>
    <n v="3"/>
    <n v="4"/>
    <n v="536900"/>
    <x v="7"/>
    <n v="0.98897058823529416"/>
    <n v="1.4869888475836431E-2"/>
    <x v="48"/>
    <n v="-0.84615384615384615"/>
    <n v="-3010850"/>
    <n v="-0.84866464660700447"/>
  </r>
  <r>
    <x v="7"/>
    <x v="21"/>
    <x v="191"/>
    <n v="1"/>
    <n v="2"/>
    <n v="257420"/>
    <x v="7"/>
    <x v="21"/>
    <n v="5.9701492537313433E-3"/>
    <n v="2"/>
    <n v="3"/>
    <n v="414840"/>
    <x v="7"/>
    <n v="0.98897058823529416"/>
    <n v="1.1152416356877323E-2"/>
    <x v="13"/>
    <n v="0.5"/>
    <n v="157420"/>
    <n v="0.61152979566467247"/>
  </r>
  <r>
    <x v="7"/>
    <x v="21"/>
    <x v="192"/>
    <n v="15"/>
    <n v="17"/>
    <n v="3017140"/>
    <x v="7"/>
    <x v="21"/>
    <n v="5.0746268656716415E-2"/>
    <n v="7"/>
    <n v="8"/>
    <n v="1420110"/>
    <x v="7"/>
    <n v="0.98897058823529416"/>
    <n v="2.9739776951672861E-2"/>
    <x v="52"/>
    <n v="-0.52941176470588236"/>
    <n v="-1597030"/>
    <n v="-0.52931915655223161"/>
  </r>
  <r>
    <x v="7"/>
    <x v="21"/>
    <x v="193"/>
    <n v="25"/>
    <n v="59"/>
    <n v="4090620"/>
    <x v="7"/>
    <x v="21"/>
    <n v="0.17611940298507461"/>
    <n v="26"/>
    <n v="53"/>
    <n v="3704250"/>
    <x v="7"/>
    <n v="0.98897058823529416"/>
    <n v="0.19702602230483271"/>
    <x v="26"/>
    <n v="-0.10169491525423729"/>
    <n v="-386370"/>
    <n v="-9.4452674655675667E-2"/>
  </r>
  <r>
    <x v="7"/>
    <x v="21"/>
    <x v="194"/>
    <n v="174"/>
    <n v="199"/>
    <n v="35485800"/>
    <x v="7"/>
    <x v="21"/>
    <n v="0.59402985074626868"/>
    <n v="157"/>
    <n v="177"/>
    <n v="31798010"/>
    <x v="7"/>
    <n v="0.98897058823529416"/>
    <n v="0.65799256505576209"/>
    <x v="48"/>
    <n v="-0.11055276381909548"/>
    <n v="-3687790"/>
    <n v="-0.10392297764176094"/>
  </r>
  <r>
    <x v="7"/>
    <x v="21"/>
    <x v="195"/>
    <n v="4"/>
    <n v="8"/>
    <n v="1062450"/>
    <x v="7"/>
    <x v="21"/>
    <n v="2.3880597014925373E-2"/>
    <n v="0"/>
    <n v="0"/>
    <n v="0"/>
    <x v="7"/>
    <n v="0.98897058823529416"/>
    <n v="0"/>
    <x v="4"/>
    <n v="-1"/>
    <n v="-1062450"/>
    <n v="-1"/>
  </r>
  <r>
    <x v="7"/>
    <x v="21"/>
    <x v="196"/>
    <n v="3"/>
    <n v="3"/>
    <n v="392340"/>
    <x v="7"/>
    <x v="21"/>
    <n v="8.9552238805970154E-3"/>
    <n v="2"/>
    <n v="3"/>
    <n v="415240"/>
    <x v="7"/>
    <n v="0.98897058823529416"/>
    <n v="1.1152416356877323E-2"/>
    <x v="16"/>
    <n v="0"/>
    <n v="22900"/>
    <n v="5.8367742264362546E-2"/>
  </r>
  <r>
    <x v="7"/>
    <x v="21"/>
    <x v="197"/>
    <n v="6"/>
    <n v="13"/>
    <n v="1710820"/>
    <x v="7"/>
    <x v="21"/>
    <n v="3.880597014925373E-2"/>
    <n v="8"/>
    <n v="8"/>
    <n v="1156040"/>
    <x v="7"/>
    <n v="0.98897058823529416"/>
    <n v="2.9739776951672861E-2"/>
    <x v="25"/>
    <n v="-0.38461538461538464"/>
    <n v="-554780"/>
    <n v="-0.3242772471680247"/>
  </r>
  <r>
    <x v="8"/>
    <x v="22"/>
    <x v="198"/>
    <n v="9"/>
    <n v="11"/>
    <n v="1558110"/>
    <x v="8"/>
    <x v="22"/>
    <n v="6.3218390804597707E-2"/>
    <n v="9"/>
    <n v="9"/>
    <n v="1237030"/>
    <x v="8"/>
    <n v="8.0064481461579795E-2"/>
    <n v="6.0402684563758392E-2"/>
    <x v="14"/>
    <n v="-0.18181818181818182"/>
    <n v="-321080"/>
    <n v="-0.20607017476301417"/>
  </r>
  <r>
    <x v="8"/>
    <x v="22"/>
    <x v="199"/>
    <n v="3"/>
    <n v="3"/>
    <n v="429250"/>
    <x v="8"/>
    <x v="22"/>
    <n v="1.7241379310344827E-2"/>
    <n v="6"/>
    <n v="6"/>
    <n v="849080"/>
    <x v="8"/>
    <n v="8.0064481461579795E-2"/>
    <n v="4.0268456375838924E-2"/>
    <x v="11"/>
    <n v="1"/>
    <n v="419830"/>
    <n v="0.97805474665113568"/>
  </r>
  <r>
    <x v="8"/>
    <x v="22"/>
    <x v="200"/>
    <n v="33"/>
    <n v="34"/>
    <n v="4748390"/>
    <x v="8"/>
    <x v="22"/>
    <n v="0.19540229885057472"/>
    <n v="37"/>
    <n v="43"/>
    <n v="5998400"/>
    <x v="8"/>
    <n v="8.0064481461579795E-2"/>
    <n v="0.28859060402684567"/>
    <x v="23"/>
    <n v="0.26470588235294118"/>
    <n v="1250010"/>
    <n v="0.26324922763294506"/>
  </r>
  <r>
    <x v="8"/>
    <x v="22"/>
    <x v="201"/>
    <n v="8"/>
    <n v="9"/>
    <n v="1415590"/>
    <x v="8"/>
    <x v="22"/>
    <n v="5.1724137931034482E-2"/>
    <n v="11"/>
    <n v="11"/>
    <n v="1740350"/>
    <x v="8"/>
    <n v="8.0064481461579795E-2"/>
    <n v="7.3825503355704702E-2"/>
    <x v="17"/>
    <n v="0.22222222222222221"/>
    <n v="324760"/>
    <n v="0.22941670964050326"/>
  </r>
  <r>
    <x v="8"/>
    <x v="22"/>
    <x v="202"/>
    <n v="2"/>
    <n v="2"/>
    <n v="310090"/>
    <x v="8"/>
    <x v="22"/>
    <n v="1.1494252873563218E-2"/>
    <n v="3"/>
    <n v="3"/>
    <n v="486870"/>
    <x v="8"/>
    <n v="8.0064481461579795E-2"/>
    <n v="2.0134228187919462E-2"/>
    <x v="13"/>
    <n v="0.5"/>
    <n v="176780"/>
    <n v="0.57009255377471058"/>
  </r>
  <r>
    <x v="8"/>
    <x v="22"/>
    <x v="203"/>
    <n v="2"/>
    <n v="2"/>
    <n v="322930"/>
    <x v="8"/>
    <x v="22"/>
    <n v="1.1494252873563218E-2"/>
    <n v="2"/>
    <n v="2"/>
    <n v="318030"/>
    <x v="8"/>
    <n v="8.0064481461579795E-2"/>
    <n v="1.3422818791946308E-2"/>
    <x v="16"/>
    <n v="0"/>
    <n v="-4900"/>
    <n v="-1.5173567026909857E-2"/>
  </r>
  <r>
    <x v="8"/>
    <x v="22"/>
    <x v="204"/>
    <n v="39"/>
    <n v="46"/>
    <n v="7275850"/>
    <x v="8"/>
    <x v="22"/>
    <n v="0.26436781609195403"/>
    <n v="33"/>
    <n v="37"/>
    <n v="5892720"/>
    <x v="8"/>
    <n v="8.0064481461579795E-2"/>
    <n v="0.24832214765100671"/>
    <x v="52"/>
    <n v="-0.19565217391304349"/>
    <n v="-1383130"/>
    <n v="-0.19009875134863968"/>
  </r>
  <r>
    <x v="8"/>
    <x v="22"/>
    <x v="205"/>
    <n v="3"/>
    <n v="4"/>
    <n v="689300"/>
    <x v="8"/>
    <x v="22"/>
    <n v="2.2988505747126436E-2"/>
    <n v="8"/>
    <n v="9"/>
    <n v="1512970"/>
    <x v="8"/>
    <n v="8.0064481461579795E-2"/>
    <n v="6.0402684563758392E-2"/>
    <x v="47"/>
    <n v="1.25"/>
    <n v="823670"/>
    <n v="1.1949368924996373"/>
  </r>
  <r>
    <x v="8"/>
    <x v="22"/>
    <x v="206"/>
    <n v="22"/>
    <n v="30"/>
    <n v="5075160"/>
    <x v="8"/>
    <x v="22"/>
    <n v="0.17241379310344829"/>
    <n v="27"/>
    <n v="29"/>
    <n v="4824710"/>
    <x v="8"/>
    <n v="8.0064481461579795E-2"/>
    <n v="0.19463087248322147"/>
    <x v="15"/>
    <n v="-3.3333333333333333E-2"/>
    <n v="-250450"/>
    <n v="-4.9348197889327629E-2"/>
  </r>
  <r>
    <x v="8"/>
    <x v="23"/>
    <x v="207"/>
    <n v="4"/>
    <n v="4"/>
    <n v="829960"/>
    <x v="8"/>
    <x v="23"/>
    <n v="3.2786885245901641E-2"/>
    <n v="5"/>
    <n v="5"/>
    <n v="1049960"/>
    <x v="8"/>
    <n v="5.2659860290166574E-2"/>
    <n v="5.1020408163265307E-2"/>
    <x v="13"/>
    <n v="0.25"/>
    <n v="220000"/>
    <n v="0.26507301556701529"/>
  </r>
  <r>
    <x v="8"/>
    <x v="23"/>
    <x v="208"/>
    <n v="4"/>
    <n v="4"/>
    <n v="829070"/>
    <x v="8"/>
    <x v="23"/>
    <n v="3.2786885245901641E-2"/>
    <n v="5"/>
    <n v="5"/>
    <n v="1075730"/>
    <x v="8"/>
    <n v="5.2659860290166574E-2"/>
    <n v="5.1020408163265307E-2"/>
    <x v="13"/>
    <n v="0.25"/>
    <n v="246660"/>
    <n v="0.29751408204373575"/>
  </r>
  <r>
    <x v="8"/>
    <x v="23"/>
    <x v="209"/>
    <n v="29"/>
    <n v="32"/>
    <n v="6517150"/>
    <x v="8"/>
    <x v="23"/>
    <n v="0.26229508196721313"/>
    <n v="9"/>
    <n v="10"/>
    <n v="2055640"/>
    <x v="8"/>
    <n v="5.2659860290166574E-2"/>
    <n v="0.10204081632653061"/>
    <x v="48"/>
    <n v="-0.6875"/>
    <n v="-4461510"/>
    <n v="-0.68457991606760626"/>
  </r>
  <r>
    <x v="8"/>
    <x v="23"/>
    <x v="210"/>
    <n v="0"/>
    <n v="0"/>
    <n v="0"/>
    <x v="8"/>
    <x v="23"/>
    <n v="0"/>
    <n v="2"/>
    <n v="2"/>
    <n v="412100"/>
    <x v="8"/>
    <n v="5.2659860290166574E-2"/>
    <n v="2.0408163265306121E-2"/>
    <x v="17"/>
    <n v="1"/>
    <n v="412100"/>
    <n v="1"/>
  </r>
  <r>
    <x v="8"/>
    <x v="23"/>
    <x v="211"/>
    <n v="3"/>
    <n v="3"/>
    <n v="606610"/>
    <x v="8"/>
    <x v="23"/>
    <n v="2.4590163934426229E-2"/>
    <n v="3"/>
    <n v="3"/>
    <n v="659810"/>
    <x v="8"/>
    <n v="5.2659860290166574E-2"/>
    <n v="3.0612244897959183E-2"/>
    <x v="16"/>
    <n v="0"/>
    <n v="53200"/>
    <n v="8.7700499497205778E-2"/>
  </r>
  <r>
    <x v="8"/>
    <x v="23"/>
    <x v="212"/>
    <n v="11"/>
    <n v="13"/>
    <n v="2694180"/>
    <x v="8"/>
    <x v="23"/>
    <n v="0.10655737704918032"/>
    <n v="13"/>
    <n v="14"/>
    <n v="2877850"/>
    <x v="8"/>
    <n v="5.2659860290166574E-2"/>
    <n v="0.14285714285714285"/>
    <x v="13"/>
    <n v="7.6923076923076927E-2"/>
    <n v="183670"/>
    <n v="6.8172876348276651E-2"/>
  </r>
  <r>
    <x v="8"/>
    <x v="23"/>
    <x v="213"/>
    <n v="4"/>
    <n v="4"/>
    <n v="846080"/>
    <x v="8"/>
    <x v="23"/>
    <n v="3.2786885245901641E-2"/>
    <n v="6"/>
    <n v="6"/>
    <n v="1282180"/>
    <x v="8"/>
    <n v="5.2659860290166574E-2"/>
    <n v="6.1224489795918366E-2"/>
    <x v="17"/>
    <n v="0.5"/>
    <n v="436100"/>
    <n v="0.51543589258698941"/>
  </r>
  <r>
    <x v="8"/>
    <x v="23"/>
    <x v="214"/>
    <n v="3"/>
    <n v="3"/>
    <n v="634150"/>
    <x v="8"/>
    <x v="23"/>
    <n v="2.4590163934426229E-2"/>
    <n v="4"/>
    <n v="4"/>
    <n v="859580"/>
    <x v="8"/>
    <n v="5.2659860290166574E-2"/>
    <n v="4.0816326530612242E-2"/>
    <x v="13"/>
    <n v="0.33333333333333331"/>
    <n v="225430"/>
    <n v="0.35548371836316328"/>
  </r>
  <r>
    <x v="8"/>
    <x v="23"/>
    <x v="215"/>
    <n v="18"/>
    <n v="18"/>
    <n v="3819870"/>
    <x v="8"/>
    <x v="23"/>
    <n v="0.14754098360655737"/>
    <n v="10"/>
    <n v="10"/>
    <n v="2138450"/>
    <x v="8"/>
    <n v="5.2659860290166574E-2"/>
    <n v="0.10204081632653061"/>
    <x v="4"/>
    <n v="-0.44444444444444442"/>
    <n v="-1681420"/>
    <n v="-0.44017728352011981"/>
  </r>
  <r>
    <x v="8"/>
    <x v="23"/>
    <x v="216"/>
    <n v="5"/>
    <n v="5"/>
    <n v="1085600"/>
    <x v="8"/>
    <x v="23"/>
    <n v="4.0983606557377046E-2"/>
    <n v="8"/>
    <n v="8"/>
    <n v="1696370"/>
    <x v="8"/>
    <n v="5.2659860290166574E-2"/>
    <n v="8.1632653061224483E-2"/>
    <x v="11"/>
    <n v="0.6"/>
    <n v="610770"/>
    <n v="0.56261053795136329"/>
  </r>
  <r>
    <x v="8"/>
    <x v="23"/>
    <x v="217"/>
    <n v="4"/>
    <n v="4"/>
    <n v="848170"/>
    <x v="8"/>
    <x v="23"/>
    <n v="3.2786885245901641E-2"/>
    <n v="6"/>
    <n v="6"/>
    <n v="1334430"/>
    <x v="8"/>
    <n v="5.2659860290166574E-2"/>
    <n v="6.1224489795918366E-2"/>
    <x v="17"/>
    <n v="0.5"/>
    <n v="486260"/>
    <n v="0.57330487991794099"/>
  </r>
  <r>
    <x v="8"/>
    <x v="23"/>
    <x v="218"/>
    <n v="31"/>
    <n v="32"/>
    <n v="6648630"/>
    <x v="8"/>
    <x v="23"/>
    <n v="0.26229508196721313"/>
    <n v="25"/>
    <n v="25"/>
    <n v="5352520"/>
    <x v="8"/>
    <n v="5.2659860290166574E-2"/>
    <n v="0.25510204081632654"/>
    <x v="53"/>
    <n v="-0.21875"/>
    <n v="-1296110"/>
    <n v="-0.19494392077766398"/>
  </r>
  <r>
    <x v="8"/>
    <x v="24"/>
    <x v="219"/>
    <n v="3"/>
    <n v="3"/>
    <n v="554800"/>
    <x v="8"/>
    <x v="24"/>
    <n v="6.8181818181818177E-2"/>
    <n v="1"/>
    <n v="1"/>
    <n v="186350"/>
    <x v="8"/>
    <n v="2.418054809242343E-2"/>
    <n v="2.2222222222222223E-2"/>
    <x v="14"/>
    <n v="-0.66666666666666663"/>
    <n v="-368450"/>
    <n v="-0.66411319394376356"/>
  </r>
  <r>
    <x v="8"/>
    <x v="24"/>
    <x v="220"/>
    <n v="2"/>
    <n v="2"/>
    <n v="372610"/>
    <x v="8"/>
    <x v="24"/>
    <n v="4.5454545454545456E-2"/>
    <n v="0"/>
    <n v="0"/>
    <n v="0"/>
    <x v="8"/>
    <n v="2.418054809242343E-2"/>
    <n v="0"/>
    <x v="14"/>
    <n v="-1"/>
    <n v="-372610"/>
    <n v="-1"/>
  </r>
  <r>
    <x v="8"/>
    <x v="24"/>
    <x v="221"/>
    <n v="9"/>
    <n v="9"/>
    <n v="1616090"/>
    <x v="8"/>
    <x v="24"/>
    <n v="0.20454545454545456"/>
    <n v="11"/>
    <n v="11"/>
    <n v="2007450"/>
    <x v="8"/>
    <n v="2.418054809242343E-2"/>
    <n v="0.24444444444444444"/>
    <x v="17"/>
    <n v="0.22222222222222221"/>
    <n v="391360"/>
    <n v="0.24216473092463911"/>
  </r>
  <r>
    <x v="8"/>
    <x v="24"/>
    <x v="222"/>
    <n v="6"/>
    <n v="6"/>
    <n v="1082320"/>
    <x v="8"/>
    <x v="24"/>
    <n v="0.13636363636363635"/>
    <n v="11"/>
    <n v="11"/>
    <n v="2009910"/>
    <x v="8"/>
    <n v="2.418054809242343E-2"/>
    <n v="0.24444444444444444"/>
    <x v="47"/>
    <n v="0.83333333333333337"/>
    <n v="927590"/>
    <n v="0.8570385837829847"/>
  </r>
  <r>
    <x v="8"/>
    <x v="24"/>
    <x v="223"/>
    <n v="2"/>
    <n v="2"/>
    <n v="394000"/>
    <x v="8"/>
    <x v="24"/>
    <n v="4.5454545454545456E-2"/>
    <n v="0"/>
    <n v="0"/>
    <n v="0"/>
    <x v="8"/>
    <n v="2.418054809242343E-2"/>
    <n v="0"/>
    <x v="14"/>
    <n v="-1"/>
    <n v="-394000"/>
    <n v="-1"/>
  </r>
  <r>
    <x v="8"/>
    <x v="24"/>
    <x v="224"/>
    <n v="22"/>
    <n v="22"/>
    <n v="3963940"/>
    <x v="8"/>
    <x v="24"/>
    <n v="0.5"/>
    <n v="22"/>
    <n v="22"/>
    <n v="3970730"/>
    <x v="8"/>
    <n v="2.418054809242343E-2"/>
    <n v="0.48888888888888887"/>
    <x v="16"/>
    <n v="0"/>
    <n v="6790"/>
    <n v="1.7129421736958683E-3"/>
  </r>
  <r>
    <x v="8"/>
    <x v="25"/>
    <x v="225"/>
    <n v="1"/>
    <n v="1"/>
    <n v="119490"/>
    <x v="8"/>
    <x v="25"/>
    <n v="1.7730496453900709E-3"/>
    <n v="5"/>
    <n v="6"/>
    <n v="745080"/>
    <x v="8"/>
    <n v="0.32670607200429874"/>
    <n v="9.8684210526315784E-3"/>
    <x v="47"/>
    <n v="5"/>
    <n v="625590"/>
    <n v="5.235500878734622"/>
  </r>
  <r>
    <x v="8"/>
    <x v="25"/>
    <x v="226"/>
    <n v="3"/>
    <n v="4"/>
    <n v="563610"/>
    <x v="8"/>
    <x v="25"/>
    <n v="7.0921985815602835E-3"/>
    <n v="1"/>
    <n v="1"/>
    <n v="143010"/>
    <x v="8"/>
    <n v="0.32670607200429874"/>
    <n v="1.6447368421052631E-3"/>
    <x v="12"/>
    <n v="-0.75"/>
    <n v="-420600"/>
    <n v="-0.74626071219460266"/>
  </r>
  <r>
    <x v="8"/>
    <x v="25"/>
    <x v="227"/>
    <n v="1"/>
    <n v="1"/>
    <n v="193030"/>
    <x v="8"/>
    <x v="25"/>
    <n v="1.7730496453900709E-3"/>
    <n v="1"/>
    <n v="1"/>
    <n v="199000"/>
    <x v="8"/>
    <n v="0.32670607200429874"/>
    <n v="1.6447368421052631E-3"/>
    <x v="16"/>
    <n v="0"/>
    <n v="5970"/>
    <n v="3.0927835051546393E-2"/>
  </r>
  <r>
    <x v="8"/>
    <x v="25"/>
    <x v="228"/>
    <n v="0"/>
    <n v="0"/>
    <n v="0"/>
    <x v="8"/>
    <x v="25"/>
    <n v="0"/>
    <n v="1"/>
    <n v="1"/>
    <n v="121370"/>
    <x v="8"/>
    <n v="0.32670607200429874"/>
    <n v="1.6447368421052631E-3"/>
    <x v="13"/>
    <n v="1"/>
    <n v="121370"/>
    <n v="1"/>
  </r>
  <r>
    <x v="8"/>
    <x v="25"/>
    <x v="229"/>
    <n v="10"/>
    <n v="10"/>
    <n v="1239120"/>
    <x v="8"/>
    <x v="25"/>
    <n v="1.7730496453900711E-2"/>
    <n v="12"/>
    <n v="15"/>
    <n v="1800070"/>
    <x v="8"/>
    <n v="0.32670607200429874"/>
    <n v="2.4671052631578948E-2"/>
    <x v="47"/>
    <n v="0.5"/>
    <n v="560950"/>
    <n v="0.45270030344115181"/>
  </r>
  <r>
    <x v="8"/>
    <x v="25"/>
    <x v="230"/>
    <n v="5"/>
    <n v="5"/>
    <n v="609470"/>
    <x v="8"/>
    <x v="25"/>
    <n v="8.8652482269503553E-3"/>
    <n v="2"/>
    <n v="3"/>
    <n v="371750"/>
    <x v="8"/>
    <n v="0.32670607200429874"/>
    <n v="4.9342105263157892E-3"/>
    <x v="14"/>
    <n v="-0.4"/>
    <n v="-237720"/>
    <n v="-0.390043808554974"/>
  </r>
  <r>
    <x v="8"/>
    <x v="25"/>
    <x v="231"/>
    <n v="1"/>
    <n v="1"/>
    <n v="121370"/>
    <x v="8"/>
    <x v="25"/>
    <n v="1.7730496453900709E-3"/>
    <n v="1"/>
    <n v="1"/>
    <n v="108200"/>
    <x v="8"/>
    <n v="0.32670607200429874"/>
    <n v="1.6447368421052631E-3"/>
    <x v="16"/>
    <n v="0"/>
    <n v="-13170"/>
    <n v="-0.10851116420861827"/>
  </r>
  <r>
    <x v="8"/>
    <x v="25"/>
    <x v="232"/>
    <n v="29"/>
    <n v="35"/>
    <n v="4210030"/>
    <x v="8"/>
    <x v="25"/>
    <n v="6.2056737588652482E-2"/>
    <n v="36"/>
    <n v="53"/>
    <n v="6359340"/>
    <x v="8"/>
    <n v="0.32670607200429874"/>
    <n v="8.7171052631578941E-2"/>
    <x v="54"/>
    <n v="0.51428571428571423"/>
    <n v="2149310"/>
    <n v="0.51052130269855556"/>
  </r>
  <r>
    <x v="8"/>
    <x v="25"/>
    <x v="233"/>
    <n v="0"/>
    <n v="0"/>
    <n v="0"/>
    <x v="8"/>
    <x v="25"/>
    <n v="0"/>
    <n v="2"/>
    <n v="2"/>
    <n v="284720"/>
    <x v="8"/>
    <n v="0.32670607200429874"/>
    <n v="3.2894736842105261E-3"/>
    <x v="17"/>
    <n v="1"/>
    <n v="284720"/>
    <n v="1"/>
  </r>
  <r>
    <x v="8"/>
    <x v="25"/>
    <x v="234"/>
    <n v="9"/>
    <n v="10"/>
    <n v="1390770"/>
    <x v="8"/>
    <x v="25"/>
    <n v="1.7730496453900711E-2"/>
    <n v="15"/>
    <n v="17"/>
    <n v="2337840"/>
    <x v="8"/>
    <n v="0.32670607200429874"/>
    <n v="2.7960526315789474E-2"/>
    <x v="28"/>
    <n v="0.7"/>
    <n v="947070"/>
    <n v="0.68096809680968096"/>
  </r>
  <r>
    <x v="8"/>
    <x v="25"/>
    <x v="235"/>
    <n v="3"/>
    <n v="3"/>
    <n v="413560"/>
    <x v="8"/>
    <x v="25"/>
    <n v="5.3191489361702126E-3"/>
    <n v="0"/>
    <n v="0"/>
    <n v="4340"/>
    <x v="8"/>
    <n v="0.32670607200429874"/>
    <n v="0"/>
    <x v="12"/>
    <n v="-1"/>
    <n v="-409220"/>
    <n v="-0.98950575490859849"/>
  </r>
  <r>
    <x v="8"/>
    <x v="25"/>
    <x v="236"/>
    <n v="2"/>
    <n v="5"/>
    <n v="719670"/>
    <x v="8"/>
    <x v="25"/>
    <n v="8.8652482269503553E-3"/>
    <n v="2"/>
    <n v="2"/>
    <n v="281830"/>
    <x v="8"/>
    <n v="0.32670607200429874"/>
    <n v="3.2894736842105261E-3"/>
    <x v="12"/>
    <n v="-0.6"/>
    <n v="-437840"/>
    <n v="-0.60838995650784389"/>
  </r>
  <r>
    <x v="8"/>
    <x v="25"/>
    <x v="237"/>
    <n v="32"/>
    <n v="35"/>
    <n v="4846140"/>
    <x v="8"/>
    <x v="25"/>
    <n v="6.2056737588652482E-2"/>
    <n v="33"/>
    <n v="35"/>
    <n v="4868800"/>
    <x v="8"/>
    <n v="0.32670607200429874"/>
    <n v="5.7565789473684209E-2"/>
    <x v="16"/>
    <n v="0"/>
    <n v="22660"/>
    <n v="4.6758863755483743E-3"/>
  </r>
  <r>
    <x v="8"/>
    <x v="25"/>
    <x v="238"/>
    <n v="1"/>
    <n v="1"/>
    <n v="156420"/>
    <x v="8"/>
    <x v="25"/>
    <n v="1.7730496453900709E-3"/>
    <n v="2"/>
    <n v="2"/>
    <n v="321070"/>
    <x v="8"/>
    <n v="0.32670607200429874"/>
    <n v="3.2894736842105261E-3"/>
    <x v="13"/>
    <n v="1"/>
    <n v="164650"/>
    <n v="1.0526147551464007"/>
  </r>
  <r>
    <x v="8"/>
    <x v="25"/>
    <x v="239"/>
    <n v="12"/>
    <n v="12"/>
    <n v="1990260"/>
    <x v="8"/>
    <x v="25"/>
    <n v="2.1276595744680851E-2"/>
    <n v="10"/>
    <n v="11"/>
    <n v="1777570"/>
    <x v="8"/>
    <n v="0.32670607200429874"/>
    <n v="1.8092105263157895E-2"/>
    <x v="15"/>
    <n v="-8.3333333333333329E-2"/>
    <n v="-212690"/>
    <n v="-0.10686543466682745"/>
  </r>
  <r>
    <x v="8"/>
    <x v="25"/>
    <x v="240"/>
    <n v="3"/>
    <n v="3"/>
    <n v="482590"/>
    <x v="8"/>
    <x v="25"/>
    <n v="5.3191489361702126E-3"/>
    <n v="5"/>
    <n v="6"/>
    <n v="1000870"/>
    <x v="8"/>
    <n v="0.32670607200429874"/>
    <n v="9.8684210526315784E-3"/>
    <x v="11"/>
    <n v="1"/>
    <n v="518280"/>
    <n v="1.0739551171802151"/>
  </r>
  <r>
    <x v="8"/>
    <x v="25"/>
    <x v="241"/>
    <n v="1"/>
    <n v="1"/>
    <n v="164670"/>
    <x v="8"/>
    <x v="25"/>
    <n v="1.7730496453900709E-3"/>
    <n v="2"/>
    <n v="2"/>
    <n v="326150"/>
    <x v="8"/>
    <n v="0.32670607200429874"/>
    <n v="3.2894736842105261E-3"/>
    <x v="13"/>
    <n v="1"/>
    <n v="161480"/>
    <n v="0.98062792251169006"/>
  </r>
  <r>
    <x v="8"/>
    <x v="25"/>
    <x v="242"/>
    <n v="26"/>
    <n v="26"/>
    <n v="4203120"/>
    <x v="8"/>
    <x v="25"/>
    <n v="4.6099290780141841E-2"/>
    <n v="24"/>
    <n v="27"/>
    <n v="4422780"/>
    <x v="8"/>
    <n v="0.32670607200429874"/>
    <n v="4.4407894736842105E-2"/>
    <x v="13"/>
    <n v="3.8461538461538464E-2"/>
    <n v="219660"/>
    <n v="5.2261177411066062E-2"/>
  </r>
  <r>
    <x v="8"/>
    <x v="25"/>
    <x v="243"/>
    <n v="1"/>
    <n v="1"/>
    <n v="93150"/>
    <x v="8"/>
    <x v="25"/>
    <n v="1.7730496453900709E-3"/>
    <n v="2"/>
    <n v="2"/>
    <n v="179850"/>
    <x v="8"/>
    <n v="0.32670607200429874"/>
    <n v="3.2894736842105261E-3"/>
    <x v="13"/>
    <n v="1"/>
    <n v="86700"/>
    <n v="0.93075684380032209"/>
  </r>
  <r>
    <x v="8"/>
    <x v="25"/>
    <x v="244"/>
    <n v="9"/>
    <n v="9"/>
    <n v="837510"/>
    <x v="8"/>
    <x v="25"/>
    <n v="1.5957446808510637E-2"/>
    <n v="11"/>
    <n v="12"/>
    <n v="1110030"/>
    <x v="8"/>
    <n v="0.32670607200429874"/>
    <n v="1.9736842105263157E-2"/>
    <x v="11"/>
    <n v="0.33333333333333331"/>
    <n v="272520"/>
    <n v="0.32539312963427303"/>
  </r>
  <r>
    <x v="8"/>
    <x v="25"/>
    <x v="245"/>
    <n v="2"/>
    <n v="2"/>
    <n v="188170"/>
    <x v="8"/>
    <x v="25"/>
    <n v="3.5460992907801418E-3"/>
    <n v="4"/>
    <n v="4"/>
    <n v="381300"/>
    <x v="8"/>
    <n v="0.32670607200429874"/>
    <n v="6.5789473684210523E-3"/>
    <x v="17"/>
    <n v="1"/>
    <n v="193130"/>
    <n v="1.0263591433278418"/>
  </r>
  <r>
    <x v="8"/>
    <x v="25"/>
    <x v="246"/>
    <n v="0"/>
    <n v="0"/>
    <n v="0"/>
    <x v="8"/>
    <x v="25"/>
    <n v="0"/>
    <n v="3"/>
    <n v="3"/>
    <n v="273900"/>
    <x v="8"/>
    <n v="0.32670607200429874"/>
    <n v="4.9342105263157892E-3"/>
    <x v="11"/>
    <n v="1"/>
    <n v="273900"/>
    <n v="1"/>
  </r>
  <r>
    <x v="8"/>
    <x v="25"/>
    <x v="247"/>
    <n v="15"/>
    <n v="21"/>
    <n v="1937400"/>
    <x v="8"/>
    <x v="25"/>
    <n v="3.7234042553191488E-2"/>
    <n v="19"/>
    <n v="24"/>
    <n v="2292910"/>
    <x v="8"/>
    <n v="0.32670607200429874"/>
    <n v="3.9473684210526314E-2"/>
    <x v="11"/>
    <n v="0.14285714285714285"/>
    <n v="355510"/>
    <n v="0.1834985031485496"/>
  </r>
  <r>
    <x v="8"/>
    <x v="25"/>
    <x v="248"/>
    <n v="8"/>
    <n v="8"/>
    <n v="828170"/>
    <x v="8"/>
    <x v="25"/>
    <n v="1.4184397163120567E-2"/>
    <n v="3"/>
    <n v="3"/>
    <n v="308980"/>
    <x v="8"/>
    <n v="0.32670607200429874"/>
    <n v="4.9342105263157892E-3"/>
    <x v="25"/>
    <n v="-0.625"/>
    <n v="-519190"/>
    <n v="-0.62691234891387038"/>
  </r>
  <r>
    <x v="8"/>
    <x v="25"/>
    <x v="249"/>
    <n v="40"/>
    <n v="42"/>
    <n v="4327100"/>
    <x v="8"/>
    <x v="25"/>
    <n v="7.4468085106382975E-2"/>
    <n v="25"/>
    <n v="26"/>
    <n v="2647820"/>
    <x v="8"/>
    <n v="0.32670607200429874"/>
    <n v="4.2763157894736843E-2"/>
    <x v="55"/>
    <n v="-0.38095238095238093"/>
    <n v="-1679280"/>
    <n v="-0.38808439832682395"/>
  </r>
  <r>
    <x v="8"/>
    <x v="25"/>
    <x v="250"/>
    <n v="9"/>
    <n v="10"/>
    <n v="1026210"/>
    <x v="8"/>
    <x v="25"/>
    <n v="1.7730496453900711E-2"/>
    <n v="8"/>
    <n v="8"/>
    <n v="842940"/>
    <x v="8"/>
    <n v="0.32670607200429874"/>
    <n v="1.3157894736842105E-2"/>
    <x v="14"/>
    <n v="-0.2"/>
    <n v="-183270"/>
    <n v="-0.17858917765369661"/>
  </r>
  <r>
    <x v="8"/>
    <x v="25"/>
    <x v="251"/>
    <n v="6"/>
    <n v="7"/>
    <n v="715370"/>
    <x v="8"/>
    <x v="25"/>
    <n v="1.2411347517730497E-2"/>
    <n v="14"/>
    <n v="16"/>
    <n v="1654920"/>
    <x v="8"/>
    <n v="0.32670607200429874"/>
    <n v="2.6315789473684209E-2"/>
    <x v="23"/>
    <n v="1.2857142857142858"/>
    <n v="939550"/>
    <n v="1.3133762947845171"/>
  </r>
  <r>
    <x v="8"/>
    <x v="25"/>
    <x v="252"/>
    <n v="113"/>
    <n v="135"/>
    <n v="13929330"/>
    <x v="8"/>
    <x v="25"/>
    <n v="0.23936170212765959"/>
    <n v="139"/>
    <n v="178"/>
    <n v="18135980"/>
    <x v="8"/>
    <n v="0.32670607200429874"/>
    <n v="0.29276315789473684"/>
    <x v="56"/>
    <n v="0.31851851851851853"/>
    <n v="4206650"/>
    <n v="0.30199945008123147"/>
  </r>
  <r>
    <x v="8"/>
    <x v="25"/>
    <x v="253"/>
    <n v="3"/>
    <n v="3"/>
    <n v="365370"/>
    <x v="8"/>
    <x v="25"/>
    <n v="5.3191489361702126E-3"/>
    <n v="2"/>
    <n v="2"/>
    <n v="246500"/>
    <x v="8"/>
    <n v="0.32670607200429874"/>
    <n v="3.2894736842105261E-3"/>
    <x v="15"/>
    <n v="-0.33333333333333331"/>
    <n v="-118870"/>
    <n v="-0.32534143471001997"/>
  </r>
  <r>
    <x v="8"/>
    <x v="25"/>
    <x v="254"/>
    <n v="11"/>
    <n v="11"/>
    <n v="1309730"/>
    <x v="8"/>
    <x v="25"/>
    <n v="1.9503546099290781E-2"/>
    <n v="5"/>
    <n v="6"/>
    <n v="706990"/>
    <x v="8"/>
    <n v="0.32670607200429874"/>
    <n v="9.8684210526315784E-3"/>
    <x v="25"/>
    <n v="-0.45454545454545453"/>
    <n v="-602740"/>
    <n v="-0.4602017209653898"/>
  </r>
  <r>
    <x v="8"/>
    <x v="25"/>
    <x v="255"/>
    <n v="3"/>
    <n v="4"/>
    <n v="500630"/>
    <x v="8"/>
    <x v="25"/>
    <n v="7.0921985815602835E-3"/>
    <n v="0"/>
    <n v="0"/>
    <n v="0"/>
    <x v="8"/>
    <n v="0.32670607200429874"/>
    <n v="0"/>
    <x v="18"/>
    <n v="-1"/>
    <n v="-500630"/>
    <n v="-1"/>
  </r>
  <r>
    <x v="8"/>
    <x v="25"/>
    <x v="256"/>
    <n v="5"/>
    <n v="6"/>
    <n v="738550"/>
    <x v="8"/>
    <x v="25"/>
    <n v="1.0638297872340425E-2"/>
    <n v="5"/>
    <n v="5"/>
    <n v="606650"/>
    <x v="8"/>
    <n v="0.32670607200429874"/>
    <n v="8.2236842105263153E-3"/>
    <x v="15"/>
    <n v="-0.16666666666666666"/>
    <n v="-131900"/>
    <n v="-0.17859318935752488"/>
  </r>
  <r>
    <x v="8"/>
    <x v="25"/>
    <x v="257"/>
    <n v="32"/>
    <n v="36"/>
    <n v="4345020"/>
    <x v="8"/>
    <x v="25"/>
    <n v="6.3829787234042548E-2"/>
    <n v="36"/>
    <n v="41"/>
    <n v="4972750"/>
    <x v="8"/>
    <n v="0.32670607200429874"/>
    <n v="6.7434210526315791E-2"/>
    <x v="47"/>
    <n v="0.1388888888888889"/>
    <n v="627730"/>
    <n v="0.14447114167483693"/>
  </r>
  <r>
    <x v="8"/>
    <x v="25"/>
    <x v="258"/>
    <n v="2"/>
    <n v="2"/>
    <n v="181530"/>
    <x v="8"/>
    <x v="25"/>
    <n v="3.5460992907801418E-3"/>
    <n v="8"/>
    <n v="8"/>
    <n v="722790"/>
    <x v="8"/>
    <n v="0.32670607200429874"/>
    <n v="1.3157894736842105E-2"/>
    <x v="24"/>
    <n v="3"/>
    <n v="541260"/>
    <n v="2.9816559246405552"/>
  </r>
  <r>
    <x v="8"/>
    <x v="25"/>
    <x v="259"/>
    <n v="27"/>
    <n v="28"/>
    <n v="2509000"/>
    <x v="8"/>
    <x v="25"/>
    <n v="4.9645390070921988E-2"/>
    <n v="19"/>
    <n v="19"/>
    <n v="1692530"/>
    <x v="8"/>
    <n v="0.32670607200429874"/>
    <n v="3.125E-2"/>
    <x v="52"/>
    <n v="-0.32142857142857145"/>
    <n v="-816470"/>
    <n v="-0.32541650059784777"/>
  </r>
  <r>
    <x v="8"/>
    <x v="25"/>
    <x v="260"/>
    <n v="3"/>
    <n v="15"/>
    <n v="1335960"/>
    <x v="8"/>
    <x v="25"/>
    <n v="2.6595744680851064E-2"/>
    <n v="8"/>
    <n v="8"/>
    <n v="713730"/>
    <x v="8"/>
    <n v="0.32670607200429874"/>
    <n v="1.3157894736842105E-2"/>
    <x v="53"/>
    <n v="-0.46666666666666667"/>
    <n v="-622230"/>
    <n v="-0.46575496272343481"/>
  </r>
  <r>
    <x v="8"/>
    <x v="25"/>
    <x v="261"/>
    <n v="4"/>
    <n v="4"/>
    <n v="357320"/>
    <x v="8"/>
    <x v="25"/>
    <n v="7.0921985815602835E-3"/>
    <n v="6"/>
    <n v="9"/>
    <n v="810780"/>
    <x v="8"/>
    <n v="0.32670607200429874"/>
    <n v="1.4802631578947368E-2"/>
    <x v="47"/>
    <n v="1.25"/>
    <n v="453460"/>
    <n v="1.2690585469607074"/>
  </r>
  <r>
    <x v="8"/>
    <x v="25"/>
    <x v="262"/>
    <n v="62"/>
    <n v="67"/>
    <n v="5977000"/>
    <x v="8"/>
    <x v="25"/>
    <n v="0.11879432624113476"/>
    <n v="45"/>
    <n v="49"/>
    <n v="4317760"/>
    <x v="8"/>
    <n v="0.32670607200429874"/>
    <n v="8.0592105263157895E-2"/>
    <x v="41"/>
    <n v="-0.26865671641791045"/>
    <n v="-1659240"/>
    <n v="-0.27760414923874854"/>
  </r>
  <r>
    <x v="8"/>
    <x v="26"/>
    <x v="263"/>
    <n v="5"/>
    <n v="6"/>
    <n v="956400"/>
    <x v="8"/>
    <x v="26"/>
    <n v="1"/>
    <n v="1"/>
    <n v="1"/>
    <n v="164900"/>
    <x v="8"/>
    <n v="5.3734551316496511E-4"/>
    <n v="1"/>
    <x v="25"/>
    <n v="-0.83333333333333337"/>
    <n v="-791500"/>
    <n v="-0.82758260142199913"/>
  </r>
  <r>
    <x v="8"/>
    <x v="27"/>
    <x v="264"/>
    <n v="47"/>
    <n v="52"/>
    <n v="6253190"/>
    <x v="8"/>
    <x v="27"/>
    <n v="6.1032863849765258E-2"/>
    <n v="52"/>
    <n v="56"/>
    <n v="6831730"/>
    <x v="8"/>
    <n v="0.4707146695325094"/>
    <n v="6.3926940639269403E-2"/>
    <x v="20"/>
    <n v="7.6923076923076927E-2"/>
    <n v="578540"/>
    <n v="9.2519178211440886E-2"/>
  </r>
  <r>
    <x v="8"/>
    <x v="27"/>
    <x v="265"/>
    <n v="133"/>
    <n v="155"/>
    <n v="20113560"/>
    <x v="8"/>
    <x v="27"/>
    <n v="0.18192488262910797"/>
    <n v="141"/>
    <n v="155"/>
    <n v="20213870"/>
    <x v="8"/>
    <n v="0.4707146695325094"/>
    <n v="0.1769406392694064"/>
    <x v="16"/>
    <n v="0"/>
    <n v="100310"/>
    <n v="4.987182776196755E-3"/>
  </r>
  <r>
    <x v="8"/>
    <x v="27"/>
    <x v="266"/>
    <n v="5"/>
    <n v="5"/>
    <n v="503210"/>
    <x v="8"/>
    <x v="27"/>
    <n v="5.8685446009389668E-3"/>
    <n v="6"/>
    <n v="6"/>
    <n v="581980"/>
    <x v="8"/>
    <n v="0.4707146695325094"/>
    <n v="6.8493150684931503E-3"/>
    <x v="13"/>
    <n v="0.2"/>
    <n v="78770"/>
    <n v="0.15653504501102919"/>
  </r>
  <r>
    <x v="8"/>
    <x v="27"/>
    <x v="267"/>
    <n v="186"/>
    <n v="212"/>
    <n v="31177480"/>
    <x v="8"/>
    <x v="27"/>
    <n v="0.24882629107981222"/>
    <n v="233"/>
    <n v="257"/>
    <n v="38372470"/>
    <x v="8"/>
    <n v="0.4707146695325094"/>
    <n v="0.29337899543378998"/>
    <x v="57"/>
    <n v="0.21226415094339623"/>
    <n v="7194990"/>
    <n v="0.23077522622097746"/>
  </r>
  <r>
    <x v="8"/>
    <x v="27"/>
    <x v="268"/>
    <n v="54"/>
    <n v="62"/>
    <n v="9495260"/>
    <x v="8"/>
    <x v="27"/>
    <n v="7.2769953051643188E-2"/>
    <n v="60"/>
    <n v="66"/>
    <n v="10198070"/>
    <x v="8"/>
    <n v="0.4707146695325094"/>
    <n v="7.5342465753424653E-2"/>
    <x v="20"/>
    <n v="6.4516129032258063E-2"/>
    <n v="702810"/>
    <n v="7.401693055271788E-2"/>
  </r>
  <r>
    <x v="8"/>
    <x v="27"/>
    <x v="269"/>
    <n v="111"/>
    <n v="122"/>
    <n v="19191320"/>
    <x v="8"/>
    <x v="27"/>
    <n v="0.14319248826291081"/>
    <n v="74"/>
    <n v="78"/>
    <n v="12338680"/>
    <x v="8"/>
    <n v="0.4707146695325094"/>
    <n v="8.9041095890410954E-2"/>
    <x v="58"/>
    <n v="-0.36065573770491804"/>
    <n v="-6852640"/>
    <n v="-0.35706975862004281"/>
  </r>
  <r>
    <x v="8"/>
    <x v="27"/>
    <x v="270"/>
    <n v="137"/>
    <n v="141"/>
    <n v="22876140"/>
    <x v="8"/>
    <x v="27"/>
    <n v="0.16549295774647887"/>
    <n v="139"/>
    <n v="148"/>
    <n v="24246690"/>
    <x v="8"/>
    <n v="0.4707146695325094"/>
    <n v="0.16894977168949771"/>
    <x v="28"/>
    <n v="4.9645390070921988E-2"/>
    <n v="1370550"/>
    <n v="5.9911768331545441E-2"/>
  </r>
  <r>
    <x v="8"/>
    <x v="27"/>
    <x v="271"/>
    <n v="4"/>
    <n v="5"/>
    <n v="718570"/>
    <x v="8"/>
    <x v="27"/>
    <n v="5.8685446009389668E-3"/>
    <n v="8"/>
    <n v="7"/>
    <n v="963820"/>
    <x v="8"/>
    <n v="0.4707146695325094"/>
    <n v="7.9908675799086754E-3"/>
    <x v="17"/>
    <n v="0.4"/>
    <n v="245250"/>
    <n v="0.34130286541325133"/>
  </r>
  <r>
    <x v="8"/>
    <x v="27"/>
    <x v="272"/>
    <n v="96"/>
    <n v="98"/>
    <n v="18741960"/>
    <x v="8"/>
    <x v="27"/>
    <n v="0.11502347417840375"/>
    <n v="101"/>
    <n v="103"/>
    <n v="19650650"/>
    <x v="8"/>
    <n v="0.4707146695325094"/>
    <n v="0.11757990867579908"/>
    <x v="47"/>
    <n v="5.1020408163265307E-2"/>
    <n v="908690"/>
    <n v="4.8484256715946465E-2"/>
  </r>
  <r>
    <x v="8"/>
    <x v="28"/>
    <x v="273"/>
    <n v="0"/>
    <n v="0"/>
    <n v="0"/>
    <x v="8"/>
    <x v="28"/>
    <n v="0"/>
    <n v="1"/>
    <n v="1"/>
    <n v="163930"/>
    <x v="8"/>
    <n v="1.0746910263299301E-2"/>
    <n v="0.05"/>
    <x v="13"/>
    <n v="1"/>
    <n v="163930"/>
    <n v="1"/>
  </r>
  <r>
    <x v="8"/>
    <x v="28"/>
    <x v="274"/>
    <n v="0"/>
    <n v="0"/>
    <n v="0"/>
    <x v="8"/>
    <x v="28"/>
    <n v="0"/>
    <n v="1"/>
    <n v="1"/>
    <n v="169000"/>
    <x v="8"/>
    <n v="1.0746910263299301E-2"/>
    <n v="0.05"/>
    <x v="13"/>
    <n v="1"/>
    <n v="169000"/>
    <n v="1"/>
  </r>
  <r>
    <x v="8"/>
    <x v="28"/>
    <x v="275"/>
    <n v="1"/>
    <n v="1"/>
    <n v="159020"/>
    <x v="8"/>
    <x v="28"/>
    <n v="3.8461538461538464E-2"/>
    <n v="3"/>
    <n v="3"/>
    <n v="496850"/>
    <x v="8"/>
    <n v="1.0746910263299301E-2"/>
    <n v="0.15"/>
    <x v="17"/>
    <n v="2"/>
    <n v="337830"/>
    <n v="2.1244497547478303"/>
  </r>
  <r>
    <x v="8"/>
    <x v="28"/>
    <x v="276"/>
    <n v="2"/>
    <n v="2"/>
    <n v="378470"/>
    <x v="8"/>
    <x v="28"/>
    <n v="7.6923076923076927E-2"/>
    <n v="0"/>
    <n v="0"/>
    <n v="0"/>
    <x v="8"/>
    <n v="1.0746910263299301E-2"/>
    <n v="0"/>
    <x v="14"/>
    <n v="-1"/>
    <n v="-378470"/>
    <n v="-1"/>
  </r>
  <r>
    <x v="8"/>
    <x v="28"/>
    <x v="277"/>
    <n v="2"/>
    <n v="3"/>
    <n v="542850"/>
    <x v="8"/>
    <x v="28"/>
    <n v="0.11538461538461539"/>
    <n v="2"/>
    <n v="2"/>
    <n v="384150"/>
    <x v="8"/>
    <n v="1.0746910263299301E-2"/>
    <n v="0.1"/>
    <x v="15"/>
    <n v="-0.33333333333333331"/>
    <n v="-158700"/>
    <n v="-0.29234595192042001"/>
  </r>
  <r>
    <x v="8"/>
    <x v="28"/>
    <x v="278"/>
    <n v="5"/>
    <n v="6"/>
    <n v="1112510"/>
    <x v="8"/>
    <x v="28"/>
    <n v="0.23076923076923078"/>
    <n v="2"/>
    <n v="2"/>
    <n v="363440"/>
    <x v="8"/>
    <n v="1.0746910263299301E-2"/>
    <n v="0.1"/>
    <x v="18"/>
    <n v="-0.66666666666666663"/>
    <n v="-749070"/>
    <n v="-0.6733152960422828"/>
  </r>
  <r>
    <x v="8"/>
    <x v="28"/>
    <x v="279"/>
    <n v="3"/>
    <n v="4"/>
    <n v="772460"/>
    <x v="8"/>
    <x v="28"/>
    <n v="0.15384615384615385"/>
    <n v="1"/>
    <n v="1"/>
    <n v="196640"/>
    <x v="8"/>
    <n v="1.0746910263299301E-2"/>
    <n v="0.05"/>
    <x v="12"/>
    <n v="-0.75"/>
    <n v="-575820"/>
    <n v="-0.74543665691427385"/>
  </r>
  <r>
    <x v="8"/>
    <x v="28"/>
    <x v="280"/>
    <n v="1"/>
    <n v="1"/>
    <n v="192590"/>
    <x v="8"/>
    <x v="28"/>
    <n v="3.8461538461538464E-2"/>
    <n v="1"/>
    <n v="1"/>
    <n v="209000"/>
    <x v="8"/>
    <n v="1.0746910263299301E-2"/>
    <n v="0.05"/>
    <x v="16"/>
    <n v="0"/>
    <n v="16410"/>
    <n v="8.5206916246949482E-2"/>
  </r>
  <r>
    <x v="8"/>
    <x v="28"/>
    <x v="281"/>
    <n v="3"/>
    <n v="3"/>
    <n v="614670"/>
    <x v="8"/>
    <x v="28"/>
    <n v="0.11538461538461539"/>
    <n v="3"/>
    <n v="3"/>
    <n v="608360"/>
    <x v="8"/>
    <n v="1.0746910263299301E-2"/>
    <n v="0.15"/>
    <x v="16"/>
    <n v="0"/>
    <n v="-6310"/>
    <n v="-1.0265671010460898E-2"/>
  </r>
  <r>
    <x v="8"/>
    <x v="28"/>
    <x v="282"/>
    <n v="1"/>
    <n v="1"/>
    <n v="237650"/>
    <x v="8"/>
    <x v="28"/>
    <n v="3.8461538461538464E-2"/>
    <n v="0"/>
    <n v="0"/>
    <n v="0"/>
    <x v="8"/>
    <n v="1.0746910263299301E-2"/>
    <n v="0"/>
    <x v="15"/>
    <n v="-1"/>
    <n v="-237650"/>
    <n v="-1"/>
  </r>
  <r>
    <x v="8"/>
    <x v="28"/>
    <x v="283"/>
    <n v="2"/>
    <n v="2"/>
    <n v="468160"/>
    <x v="8"/>
    <x v="28"/>
    <n v="7.6923076923076927E-2"/>
    <n v="4"/>
    <n v="4"/>
    <n v="931800"/>
    <x v="8"/>
    <n v="1.0746910263299301E-2"/>
    <n v="0.2"/>
    <x v="17"/>
    <n v="1"/>
    <n v="463640"/>
    <n v="0.99034518113465486"/>
  </r>
  <r>
    <x v="8"/>
    <x v="28"/>
    <x v="284"/>
    <n v="2"/>
    <n v="3"/>
    <n v="712940"/>
    <x v="8"/>
    <x v="28"/>
    <n v="0.11538461538461539"/>
    <n v="2"/>
    <n v="2"/>
    <n v="461040"/>
    <x v="8"/>
    <n v="1.0746910263299301E-2"/>
    <n v="0.1"/>
    <x v="15"/>
    <n v="-0.33333333333333331"/>
    <n v="-251900"/>
    <n v="-0.35332566555390355"/>
  </r>
  <r>
    <x v="8"/>
    <x v="29"/>
    <x v="285"/>
    <n v="0"/>
    <n v="0"/>
    <n v="0"/>
    <x v="8"/>
    <x v="29"/>
    <n v="0"/>
    <n v="4"/>
    <n v="4"/>
    <n v="1071150"/>
    <x v="8"/>
    <n v="3.4390112842557767E-2"/>
    <n v="6.25E-2"/>
    <x v="20"/>
    <n v="1"/>
    <n v="1071150"/>
    <n v="1"/>
  </r>
  <r>
    <x v="8"/>
    <x v="29"/>
    <x v="286"/>
    <n v="57"/>
    <n v="63"/>
    <n v="11423520"/>
    <x v="8"/>
    <x v="29"/>
    <n v="0.79746835443037978"/>
    <n v="35"/>
    <n v="42"/>
    <n v="7743380"/>
    <x v="8"/>
    <n v="3.4390112842557767E-2"/>
    <n v="0.65625"/>
    <x v="0"/>
    <n v="-0.33333333333333331"/>
    <n v="-3680140"/>
    <n v="-0.32215464235191954"/>
  </r>
  <r>
    <x v="8"/>
    <x v="29"/>
    <x v="287"/>
    <n v="8"/>
    <n v="8"/>
    <n v="2595810"/>
    <x v="8"/>
    <x v="29"/>
    <n v="0.10126582278481013"/>
    <n v="11"/>
    <n v="11"/>
    <n v="3601770"/>
    <x v="8"/>
    <n v="3.4390112842557767E-2"/>
    <n v="0.171875"/>
    <x v="11"/>
    <n v="0.375"/>
    <n v="1005960"/>
    <n v="0.38753221537785892"/>
  </r>
  <r>
    <x v="8"/>
    <x v="29"/>
    <x v="288"/>
    <n v="8"/>
    <n v="8"/>
    <n v="2287510"/>
    <x v="8"/>
    <x v="29"/>
    <n v="0.10126582278481013"/>
    <n v="7"/>
    <n v="7"/>
    <n v="2024880"/>
    <x v="8"/>
    <n v="3.4390112842557767E-2"/>
    <n v="0.109375"/>
    <x v="15"/>
    <n v="-0.125"/>
    <n v="-262630"/>
    <n v="-0.11481042705824236"/>
  </r>
  <r>
    <x v="9"/>
    <x v="30"/>
    <x v="289"/>
    <n v="63"/>
    <n v="75"/>
    <n v="55905260"/>
    <x v="9"/>
    <x v="30"/>
    <n v="6.7628494138863834E-2"/>
    <n v="31"/>
    <n v="33"/>
    <n v="28954900"/>
    <x v="9"/>
    <n v="0.3477751756440281"/>
    <n v="5.5555555555555552E-2"/>
    <x v="39"/>
    <n v="-0.56000000000000005"/>
    <n v="-26950360"/>
    <n v="-0.48207199107919363"/>
  </r>
  <r>
    <x v="9"/>
    <x v="30"/>
    <x v="290"/>
    <n v="88"/>
    <n v="101"/>
    <n v="67513630"/>
    <x v="9"/>
    <x v="30"/>
    <n v="9.107303877366997E-2"/>
    <n v="56"/>
    <n v="58"/>
    <n v="41685650"/>
    <x v="9"/>
    <n v="0.3477751756440281"/>
    <n v="9.7643097643097643E-2"/>
    <x v="35"/>
    <n v="-0.42574257425742573"/>
    <n v="-25827980"/>
    <n v="-0.38255949206108453"/>
  </r>
  <r>
    <x v="9"/>
    <x v="30"/>
    <x v="291"/>
    <n v="271"/>
    <n v="330"/>
    <n v="262361210"/>
    <x v="9"/>
    <x v="30"/>
    <n v="0.29756537421100088"/>
    <n v="152"/>
    <n v="163"/>
    <n v="150688120"/>
    <x v="9"/>
    <n v="0.3477751756440281"/>
    <n v="0.27441077441077444"/>
    <x v="59"/>
    <n v="-0.5060606060606061"/>
    <n v="-111673090"/>
    <n v="-0.42564634459491935"/>
  </r>
  <r>
    <x v="9"/>
    <x v="30"/>
    <x v="292"/>
    <n v="445"/>
    <n v="508"/>
    <n v="347183830"/>
    <x v="9"/>
    <x v="30"/>
    <n v="0.45807033363390443"/>
    <n v="271"/>
    <n v="282"/>
    <n v="210504820"/>
    <x v="9"/>
    <n v="0.3477751756440281"/>
    <n v="0.47474747474747475"/>
    <x v="60"/>
    <n v="-0.44488188976377951"/>
    <n v="-136679010"/>
    <n v="-0.39367907773815386"/>
  </r>
  <r>
    <x v="9"/>
    <x v="30"/>
    <x v="293"/>
    <n v="5"/>
    <n v="6"/>
    <n v="5454050"/>
    <x v="9"/>
    <x v="30"/>
    <n v="5.4102795311091077E-3"/>
    <n v="2"/>
    <n v="2"/>
    <n v="1866760"/>
    <x v="9"/>
    <n v="0.3477751756440281"/>
    <n v="3.3670033670033669E-3"/>
    <x v="18"/>
    <n v="-0.66666666666666663"/>
    <n v="-3587290"/>
    <n v="-0.65772957710325353"/>
  </r>
  <r>
    <x v="9"/>
    <x v="30"/>
    <x v="294"/>
    <n v="6"/>
    <n v="6"/>
    <n v="4442760"/>
    <x v="9"/>
    <x v="30"/>
    <n v="5.4102795311091077E-3"/>
    <n v="7"/>
    <n v="7"/>
    <n v="5184470"/>
    <x v="9"/>
    <n v="0.3477751756440281"/>
    <n v="1.1784511784511785E-2"/>
    <x v="13"/>
    <n v="0.16666666666666666"/>
    <n v="741710"/>
    <n v="0.16694802330083103"/>
  </r>
  <r>
    <x v="9"/>
    <x v="30"/>
    <x v="295"/>
    <n v="33"/>
    <n v="37"/>
    <n v="32684970"/>
    <x v="9"/>
    <x v="30"/>
    <n v="3.3363390441839495E-2"/>
    <n v="19"/>
    <n v="19"/>
    <n v="17639830"/>
    <x v="9"/>
    <n v="0.3477751756440281"/>
    <n v="3.1986531986531987E-2"/>
    <x v="41"/>
    <n v="-0.48648648648648651"/>
    <n v="-15045140"/>
    <n v="-0.46030759703925078"/>
  </r>
  <r>
    <x v="9"/>
    <x v="30"/>
    <x v="296"/>
    <n v="41"/>
    <n v="46"/>
    <n v="34944560"/>
    <x v="9"/>
    <x v="30"/>
    <n v="4.1478809738503153E-2"/>
    <n v="30"/>
    <n v="30"/>
    <n v="23266900"/>
    <x v="9"/>
    <n v="0.3477751756440281"/>
    <n v="5.0505050505050504E-2"/>
    <x v="55"/>
    <n v="-0.34782608695652173"/>
    <n v="-11677660"/>
    <n v="-0.33417676456650192"/>
  </r>
  <r>
    <x v="9"/>
    <x v="31"/>
    <x v="297"/>
    <n v="50"/>
    <n v="64"/>
    <n v="59554260"/>
    <x v="9"/>
    <x v="31"/>
    <n v="7.032967032967033E-2"/>
    <n v="22"/>
    <n v="22"/>
    <n v="25675720"/>
    <x v="9"/>
    <n v="0.27224824355971899"/>
    <n v="4.7311827956989246E-2"/>
    <x v="39"/>
    <n v="-0.65625"/>
    <n v="-33878540"/>
    <n v="-0.56886845710113765"/>
  </r>
  <r>
    <x v="9"/>
    <x v="31"/>
    <x v="298"/>
    <n v="63"/>
    <n v="73"/>
    <n v="64756350"/>
    <x v="9"/>
    <x v="31"/>
    <n v="8.0219780219780226E-2"/>
    <n v="27"/>
    <n v="28"/>
    <n v="28966850"/>
    <x v="9"/>
    <n v="0.27224824355971899"/>
    <n v="6.0215053763440864E-2"/>
    <x v="61"/>
    <n v="-0.61643835616438358"/>
    <n v="-35789500"/>
    <n v="-0.55267938974324526"/>
  </r>
  <r>
    <x v="9"/>
    <x v="31"/>
    <x v="299"/>
    <n v="207"/>
    <n v="268"/>
    <n v="264710800"/>
    <x v="9"/>
    <x v="31"/>
    <n v="0.29450549450549451"/>
    <n v="109"/>
    <n v="115"/>
    <n v="138780500"/>
    <x v="9"/>
    <n v="0.27224824355971899"/>
    <n v="0.24731182795698925"/>
    <x v="62"/>
    <n v="-0.57089552238805974"/>
    <n v="-125930300"/>
    <n v="-0.47572785092259173"/>
  </r>
  <r>
    <x v="9"/>
    <x v="31"/>
    <x v="300"/>
    <n v="224"/>
    <n v="285"/>
    <n v="242359310"/>
    <x v="9"/>
    <x v="31"/>
    <n v="0.31318681318681318"/>
    <n v="158"/>
    <n v="167"/>
    <n v="172469290"/>
    <x v="9"/>
    <n v="0.27224824355971899"/>
    <n v="0.35913978494623655"/>
    <x v="63"/>
    <n v="-0.41403508771929826"/>
    <n v="-69890020"/>
    <n v="-0.28837357227993426"/>
  </r>
  <r>
    <x v="9"/>
    <x v="31"/>
    <x v="301"/>
    <n v="19"/>
    <n v="26"/>
    <n v="25414040"/>
    <x v="9"/>
    <x v="31"/>
    <n v="2.8571428571428571E-2"/>
    <n v="4"/>
    <n v="4"/>
    <n v="4804320"/>
    <x v="9"/>
    <n v="0.27224824355971899"/>
    <n v="8.6021505376344086E-3"/>
    <x v="48"/>
    <n v="-0.84615384615384615"/>
    <n v="-20609720"/>
    <n v="-0.81095803736832084"/>
  </r>
  <r>
    <x v="9"/>
    <x v="31"/>
    <x v="302"/>
    <n v="10"/>
    <n v="13"/>
    <n v="10382320"/>
    <x v="9"/>
    <x v="31"/>
    <n v="1.4285714285714285E-2"/>
    <n v="5"/>
    <n v="5"/>
    <n v="5182810"/>
    <x v="9"/>
    <n v="0.27224824355971899"/>
    <n v="1.0752688172043012E-2"/>
    <x v="4"/>
    <n v="-0.61538461538461542"/>
    <n v="-5199510"/>
    <n v="-0.50080425184351862"/>
  </r>
  <r>
    <x v="9"/>
    <x v="31"/>
    <x v="303"/>
    <n v="77"/>
    <n v="98"/>
    <n v="99525540"/>
    <x v="9"/>
    <x v="31"/>
    <n v="0.1076923076923077"/>
    <n v="73"/>
    <n v="73"/>
    <n v="90575170"/>
    <x v="9"/>
    <n v="0.27224824355971899"/>
    <n v="0.15698924731182795"/>
    <x v="64"/>
    <n v="-0.25510204081632654"/>
    <n v="-8950370"/>
    <n v="-8.9930383698495889E-2"/>
  </r>
  <r>
    <x v="9"/>
    <x v="31"/>
    <x v="304"/>
    <n v="73"/>
    <n v="83"/>
    <n v="78860470"/>
    <x v="9"/>
    <x v="31"/>
    <n v="9.1208791208791204E-2"/>
    <n v="50"/>
    <n v="51"/>
    <n v="54616290"/>
    <x v="9"/>
    <n v="0.27224824355971899"/>
    <n v="0.10967741935483871"/>
    <x v="65"/>
    <n v="-0.38554216867469882"/>
    <n v="-24244180"/>
    <n v="-0.3074313404421759"/>
  </r>
  <r>
    <x v="9"/>
    <x v="32"/>
    <x v="305"/>
    <n v="19"/>
    <n v="22"/>
    <n v="17146240"/>
    <x v="9"/>
    <x v="32"/>
    <n v="0.24444444444444444"/>
    <n v="6"/>
    <n v="6"/>
    <n v="4713780"/>
    <x v="9"/>
    <n v="3.7470725995316159E-2"/>
    <n v="9.375E-2"/>
    <x v="55"/>
    <n v="-0.72727272727272729"/>
    <n v="-12432460"/>
    <n v="-0.72508375013997239"/>
  </r>
  <r>
    <x v="9"/>
    <x v="32"/>
    <x v="306"/>
    <n v="10"/>
    <n v="11"/>
    <n v="10214130"/>
    <x v="9"/>
    <x v="32"/>
    <n v="0.12222222222222222"/>
    <n v="7"/>
    <n v="8"/>
    <n v="7533110"/>
    <x v="9"/>
    <n v="3.7470725995316159E-2"/>
    <n v="0.125"/>
    <x v="12"/>
    <n v="-0.27272727272727271"/>
    <n v="-2681020"/>
    <n v="-0.2624814839834621"/>
  </r>
  <r>
    <x v="9"/>
    <x v="32"/>
    <x v="307"/>
    <n v="19"/>
    <n v="20"/>
    <n v="16196020"/>
    <x v="9"/>
    <x v="32"/>
    <n v="0.22222222222222221"/>
    <n v="20"/>
    <n v="20"/>
    <n v="16390300"/>
    <x v="9"/>
    <n v="3.7470725995316159E-2"/>
    <n v="0.3125"/>
    <x v="16"/>
    <n v="0"/>
    <n v="194280"/>
    <n v="1.1995539644925111E-2"/>
  </r>
  <r>
    <x v="9"/>
    <x v="32"/>
    <x v="308"/>
    <n v="12"/>
    <n v="14"/>
    <n v="13535980"/>
    <x v="9"/>
    <x v="32"/>
    <n v="0.15555555555555556"/>
    <n v="5"/>
    <n v="6"/>
    <n v="5748480"/>
    <x v="9"/>
    <n v="3.7470725995316159E-2"/>
    <n v="9.375E-2"/>
    <x v="4"/>
    <n v="-0.5714285714285714"/>
    <n v="-7787500"/>
    <n v="-0.57531852145171614"/>
  </r>
  <r>
    <x v="9"/>
    <x v="32"/>
    <x v="309"/>
    <n v="3"/>
    <n v="3"/>
    <n v="2575860"/>
    <x v="9"/>
    <x v="32"/>
    <n v="3.3333333333333333E-2"/>
    <n v="5"/>
    <n v="5"/>
    <n v="4393150"/>
    <x v="9"/>
    <n v="3.7470725995316159E-2"/>
    <n v="7.8125E-2"/>
    <x v="17"/>
    <n v="0.66666666666666663"/>
    <n v="1817290"/>
    <n v="0.70550806332642302"/>
  </r>
  <r>
    <x v="9"/>
    <x v="32"/>
    <x v="310"/>
    <n v="2"/>
    <n v="2"/>
    <n v="2100090"/>
    <x v="9"/>
    <x v="32"/>
    <n v="2.2222222222222223E-2"/>
    <n v="4"/>
    <n v="4"/>
    <n v="4190460"/>
    <x v="9"/>
    <n v="3.7470725995316159E-2"/>
    <n v="6.25E-2"/>
    <x v="17"/>
    <n v="1"/>
    <n v="2090370"/>
    <n v="0.99537162693027437"/>
  </r>
  <r>
    <x v="9"/>
    <x v="32"/>
    <x v="311"/>
    <n v="11"/>
    <n v="14"/>
    <n v="12959150"/>
    <x v="9"/>
    <x v="32"/>
    <n v="0.15555555555555556"/>
    <n v="7"/>
    <n v="7"/>
    <n v="6429030"/>
    <x v="9"/>
    <n v="3.7470725995316159E-2"/>
    <n v="0.109375"/>
    <x v="53"/>
    <n v="-0.5"/>
    <n v="-6530120"/>
    <n v="-0.50390033296936909"/>
  </r>
  <r>
    <x v="9"/>
    <x v="32"/>
    <x v="312"/>
    <n v="4"/>
    <n v="4"/>
    <n v="4402000"/>
    <x v="9"/>
    <x v="32"/>
    <n v="4.4444444444444446E-2"/>
    <n v="8"/>
    <n v="8"/>
    <n v="8619970"/>
    <x v="9"/>
    <n v="3.7470725995316159E-2"/>
    <n v="0.125"/>
    <x v="20"/>
    <n v="1"/>
    <n v="4217970"/>
    <n v="0.95819400272603361"/>
  </r>
  <r>
    <x v="9"/>
    <x v="33"/>
    <x v="313"/>
    <n v="13"/>
    <n v="14"/>
    <n v="10764130"/>
    <x v="9"/>
    <x v="33"/>
    <n v="1.3295346628679962E-2"/>
    <n v="15"/>
    <n v="18"/>
    <n v="14090260"/>
    <x v="9"/>
    <n v="0.34250585480093676"/>
    <n v="3.0769230769230771E-2"/>
    <x v="20"/>
    <n v="0.2857142857142857"/>
    <n v="3326130"/>
    <n v="0.30900128482283284"/>
  </r>
  <r>
    <x v="9"/>
    <x v="33"/>
    <x v="314"/>
    <n v="281"/>
    <n v="339"/>
    <n v="146921580"/>
    <x v="9"/>
    <x v="33"/>
    <n v="0.32193732193732194"/>
    <n v="124"/>
    <n v="144"/>
    <n v="63037570"/>
    <x v="9"/>
    <n v="0.34250585480093676"/>
    <n v="0.24615384615384617"/>
    <x v="66"/>
    <n v="-0.5752212389380531"/>
    <n v="-83884010"/>
    <n v="-0.57094410501166681"/>
  </r>
  <r>
    <x v="9"/>
    <x v="33"/>
    <x v="315"/>
    <n v="139"/>
    <n v="152"/>
    <n v="90098460"/>
    <x v="9"/>
    <x v="33"/>
    <n v="0.14434947768281101"/>
    <n v="79"/>
    <n v="88"/>
    <n v="52883710"/>
    <x v="9"/>
    <n v="0.34250585480093676"/>
    <n v="0.15042735042735042"/>
    <x v="67"/>
    <n v="-0.42105263157894735"/>
    <n v="-37214750"/>
    <n v="-0.41304535060865633"/>
  </r>
  <r>
    <x v="9"/>
    <x v="33"/>
    <x v="316"/>
    <n v="151"/>
    <n v="173"/>
    <n v="84206060"/>
    <x v="9"/>
    <x v="33"/>
    <n v="0.16429249762583095"/>
    <n v="101"/>
    <n v="119"/>
    <n v="58364690"/>
    <x v="9"/>
    <n v="0.34250585480093676"/>
    <n v="0.20341880341880342"/>
    <x v="68"/>
    <n v="-0.31213872832369943"/>
    <n v="-25841370"/>
    <n v="-0.30688254503298218"/>
  </r>
  <r>
    <x v="9"/>
    <x v="33"/>
    <x v="317"/>
    <n v="100"/>
    <n v="113"/>
    <n v="73337680"/>
    <x v="9"/>
    <x v="33"/>
    <n v="0.10731244064577398"/>
    <n v="59"/>
    <n v="71"/>
    <n v="46343880"/>
    <x v="9"/>
    <n v="0.34250585480093676"/>
    <n v="0.12136752136752137"/>
    <x v="39"/>
    <n v="-0.37168141592920356"/>
    <n v="-26993800"/>
    <n v="-0.36807545589115992"/>
  </r>
  <r>
    <x v="9"/>
    <x v="33"/>
    <x v="318"/>
    <n v="73"/>
    <n v="79"/>
    <n v="48906140"/>
    <x v="9"/>
    <x v="33"/>
    <n v="7.502374169040836E-2"/>
    <n v="37"/>
    <n v="38"/>
    <n v="23701960"/>
    <x v="9"/>
    <n v="0.34250585480093676"/>
    <n v="6.4957264957264962E-2"/>
    <x v="69"/>
    <n v="-0.51898734177215189"/>
    <n v="-25204180"/>
    <n v="-0.51535819428807916"/>
  </r>
  <r>
    <x v="9"/>
    <x v="33"/>
    <x v="319"/>
    <n v="41"/>
    <n v="42"/>
    <n v="33625230"/>
    <x v="9"/>
    <x v="33"/>
    <n v="3.9886039886039885E-2"/>
    <n v="27"/>
    <n v="29"/>
    <n v="23477620"/>
    <x v="9"/>
    <n v="0.34250585480093676"/>
    <n v="4.957264957264957E-2"/>
    <x v="37"/>
    <n v="-0.30952380952380953"/>
    <n v="-10147610"/>
    <n v="-0.30178559373422875"/>
  </r>
  <r>
    <x v="9"/>
    <x v="33"/>
    <x v="320"/>
    <n v="131"/>
    <n v="141"/>
    <n v="90978260"/>
    <x v="9"/>
    <x v="33"/>
    <n v="0.13390313390313391"/>
    <n v="74"/>
    <n v="78"/>
    <n v="50449670"/>
    <x v="9"/>
    <n v="0.34250585480093676"/>
    <n v="0.13333333333333333"/>
    <x v="70"/>
    <n v="-0.44680851063829785"/>
    <n v="-40528590"/>
    <n v="-0.44547554547646878"/>
  </r>
  <r>
    <x v="10"/>
    <x v="34"/>
    <x v="321"/>
    <n v="0"/>
    <n v="0"/>
    <n v="0"/>
    <x v="10"/>
    <x v="34"/>
    <n v="0"/>
    <n v="1"/>
    <n v="1"/>
    <n v="356600"/>
    <x v="10"/>
    <n v="0.41626794258373206"/>
    <n v="5.7471264367816091E-3"/>
    <x v="13"/>
    <n v="1"/>
    <n v="356600"/>
    <n v="1"/>
  </r>
  <r>
    <x v="10"/>
    <x v="34"/>
    <x v="322"/>
    <n v="1"/>
    <n v="1"/>
    <n v="356600"/>
    <x v="10"/>
    <x v="34"/>
    <n v="4.4247787610619468E-3"/>
    <n v="1"/>
    <n v="1"/>
    <n v="338760"/>
    <x v="10"/>
    <n v="0.41626794258373206"/>
    <n v="5.7471264367816091E-3"/>
    <x v="16"/>
    <n v="0"/>
    <n v="-17840"/>
    <n v="-5.002804262478968E-2"/>
  </r>
  <r>
    <x v="10"/>
    <x v="34"/>
    <x v="323"/>
    <n v="31"/>
    <n v="33"/>
    <n v="11530340"/>
    <x v="10"/>
    <x v="34"/>
    <n v="0.14601769911504425"/>
    <n v="19"/>
    <n v="19"/>
    <n v="6776020"/>
    <x v="10"/>
    <n v="0.41626794258373206"/>
    <n v="0.10919540229885058"/>
    <x v="7"/>
    <n v="-0.42424242424242425"/>
    <n v="-4754320"/>
    <n v="-0.4123312929193762"/>
  </r>
  <r>
    <x v="10"/>
    <x v="34"/>
    <x v="324"/>
    <n v="1"/>
    <n v="1"/>
    <n v="271720"/>
    <x v="10"/>
    <x v="34"/>
    <n v="4.4247787610619468E-3"/>
    <n v="1"/>
    <n v="1"/>
    <n v="286030"/>
    <x v="10"/>
    <n v="0.41626794258373206"/>
    <n v="5.7471264367816091E-3"/>
    <x v="16"/>
    <n v="0"/>
    <n v="14310"/>
    <n v="5.2664507581333724E-2"/>
  </r>
  <r>
    <x v="10"/>
    <x v="34"/>
    <x v="325"/>
    <n v="1"/>
    <n v="1"/>
    <n v="221480"/>
    <x v="10"/>
    <x v="34"/>
    <n v="4.4247787610619468E-3"/>
    <n v="1"/>
    <n v="1"/>
    <n v="271730"/>
    <x v="10"/>
    <n v="0.41626794258373206"/>
    <n v="5.7471264367816091E-3"/>
    <x v="16"/>
    <n v="0"/>
    <n v="50250"/>
    <n v="0.22688278851363555"/>
  </r>
  <r>
    <x v="10"/>
    <x v="34"/>
    <x v="326"/>
    <n v="13"/>
    <n v="16"/>
    <n v="4587250"/>
    <x v="10"/>
    <x v="34"/>
    <n v="7.0796460176991149E-2"/>
    <n v="4"/>
    <n v="5"/>
    <n v="1422000"/>
    <x v="10"/>
    <n v="0.41626794258373206"/>
    <n v="2.8735632183908046E-2"/>
    <x v="9"/>
    <n v="-0.6875"/>
    <n v="-3165250"/>
    <n v="-0.69001035478772688"/>
  </r>
  <r>
    <x v="10"/>
    <x v="34"/>
    <x v="327"/>
    <n v="-1"/>
    <n v="-1"/>
    <n v="-301000"/>
    <x v="10"/>
    <x v="34"/>
    <n v="-4.4247787610619468E-3"/>
    <n v="0"/>
    <n v="0"/>
    <n v="0"/>
    <x v="10"/>
    <n v="0.41626794258373206"/>
    <n v="0"/>
    <x v="13"/>
    <n v="-1"/>
    <n v="301000"/>
    <n v="-1"/>
  </r>
  <r>
    <x v="10"/>
    <x v="34"/>
    <x v="328"/>
    <n v="1"/>
    <n v="1"/>
    <n v="269000"/>
    <x v="10"/>
    <x v="34"/>
    <n v="4.4247787610619468E-3"/>
    <n v="6"/>
    <n v="6"/>
    <n v="1507920"/>
    <x v="10"/>
    <n v="0.41626794258373206"/>
    <n v="3.4482758620689655E-2"/>
    <x v="47"/>
    <n v="5"/>
    <n v="1238920"/>
    <n v="4.6056505576208178"/>
  </r>
  <r>
    <x v="10"/>
    <x v="34"/>
    <x v="329"/>
    <n v="2"/>
    <n v="2"/>
    <n v="514030"/>
    <x v="10"/>
    <x v="34"/>
    <n v="8.8495575221238937E-3"/>
    <n v="3"/>
    <n v="4"/>
    <n v="999750"/>
    <x v="10"/>
    <n v="0.41626794258373206"/>
    <n v="2.2988505747126436E-2"/>
    <x v="17"/>
    <n v="1"/>
    <n v="485720"/>
    <n v="0.94492539345952575"/>
  </r>
  <r>
    <x v="10"/>
    <x v="34"/>
    <x v="330"/>
    <n v="16"/>
    <n v="16"/>
    <n v="4079680"/>
    <x v="10"/>
    <x v="34"/>
    <n v="7.0796460176991149E-2"/>
    <n v="7"/>
    <n v="7"/>
    <n v="1727010"/>
    <x v="10"/>
    <n v="0.41626794258373206"/>
    <n v="4.0229885057471264E-2"/>
    <x v="52"/>
    <n v="-0.5625"/>
    <n v="-2352670"/>
    <n v="-0.57668003372813559"/>
  </r>
  <r>
    <x v="10"/>
    <x v="34"/>
    <x v="331"/>
    <n v="1"/>
    <n v="1"/>
    <n v="224000"/>
    <x v="10"/>
    <x v="34"/>
    <n v="4.4247787610619468E-3"/>
    <n v="0"/>
    <n v="0"/>
    <n v="0"/>
    <x v="10"/>
    <n v="0.41626794258373206"/>
    <n v="0"/>
    <x v="15"/>
    <n v="-1"/>
    <n v="-224000"/>
    <n v="-1"/>
  </r>
  <r>
    <x v="10"/>
    <x v="34"/>
    <x v="332"/>
    <n v="6"/>
    <n v="7"/>
    <n v="1459410"/>
    <x v="10"/>
    <x v="34"/>
    <n v="3.0973451327433628E-2"/>
    <n v="6"/>
    <n v="7"/>
    <n v="1484230"/>
    <x v="10"/>
    <n v="0.41626794258373206"/>
    <n v="4.0229885057471264E-2"/>
    <x v="16"/>
    <n v="0"/>
    <n v="24820"/>
    <n v="1.7006872640313551E-2"/>
  </r>
  <r>
    <x v="10"/>
    <x v="34"/>
    <x v="333"/>
    <n v="0"/>
    <n v="0"/>
    <n v="0"/>
    <x v="10"/>
    <x v="34"/>
    <n v="0"/>
    <n v="1"/>
    <n v="1"/>
    <n v="210770"/>
    <x v="10"/>
    <n v="0.41626794258373206"/>
    <n v="5.7471264367816091E-3"/>
    <x v="13"/>
    <n v="1"/>
    <n v="210770"/>
    <n v="1"/>
  </r>
  <r>
    <x v="10"/>
    <x v="34"/>
    <x v="334"/>
    <n v="1"/>
    <n v="1"/>
    <n v="212800"/>
    <x v="10"/>
    <x v="34"/>
    <n v="4.4247787610619468E-3"/>
    <n v="0"/>
    <n v="0"/>
    <n v="0"/>
    <x v="10"/>
    <n v="0.41626794258373206"/>
    <n v="0"/>
    <x v="15"/>
    <n v="-1"/>
    <n v="-212800"/>
    <n v="-1"/>
  </r>
  <r>
    <x v="10"/>
    <x v="34"/>
    <x v="335"/>
    <n v="5"/>
    <n v="6"/>
    <n v="1243530"/>
    <x v="10"/>
    <x v="34"/>
    <n v="2.6548672566371681E-2"/>
    <n v="0"/>
    <n v="0"/>
    <n v="0"/>
    <x v="10"/>
    <n v="0.41626794258373206"/>
    <n v="0"/>
    <x v="26"/>
    <n v="-1"/>
    <n v="-1243530"/>
    <n v="-1"/>
  </r>
  <r>
    <x v="10"/>
    <x v="34"/>
    <x v="336"/>
    <n v="11"/>
    <n v="11"/>
    <n v="2342770"/>
    <x v="10"/>
    <x v="34"/>
    <n v="4.8672566371681415E-2"/>
    <n v="8"/>
    <n v="9"/>
    <n v="1862430"/>
    <x v="10"/>
    <n v="0.41626794258373206"/>
    <n v="5.1724137931034482E-2"/>
    <x v="14"/>
    <n v="-0.18181818181818182"/>
    <n v="-480340"/>
    <n v="-0.20503079687720091"/>
  </r>
  <r>
    <x v="10"/>
    <x v="34"/>
    <x v="337"/>
    <n v="2"/>
    <n v="2"/>
    <n v="322940"/>
    <x v="10"/>
    <x v="34"/>
    <n v="8.8495575221238937E-3"/>
    <n v="0"/>
    <n v="0"/>
    <n v="0"/>
    <x v="10"/>
    <n v="0.41626794258373206"/>
    <n v="0"/>
    <x v="14"/>
    <n v="-1"/>
    <n v="-322940"/>
    <n v="-1"/>
  </r>
  <r>
    <x v="10"/>
    <x v="34"/>
    <x v="338"/>
    <n v="19"/>
    <n v="23"/>
    <n v="3640490"/>
    <x v="10"/>
    <x v="34"/>
    <n v="0.10176991150442478"/>
    <n v="13"/>
    <n v="20"/>
    <n v="3097795"/>
    <x v="10"/>
    <n v="0.41626794258373206"/>
    <n v="0.11494252873563218"/>
    <x v="12"/>
    <n v="-0.13043478260869565"/>
    <n v="-542695"/>
    <n v="-0.1490719655870501"/>
  </r>
  <r>
    <x v="10"/>
    <x v="34"/>
    <x v="339"/>
    <n v="1"/>
    <n v="1"/>
    <n v="149380"/>
    <x v="10"/>
    <x v="34"/>
    <n v="4.4247787610619468E-3"/>
    <n v="1"/>
    <n v="1"/>
    <n v="128540"/>
    <x v="10"/>
    <n v="0.41626794258373206"/>
    <n v="5.7471264367816091E-3"/>
    <x v="16"/>
    <n v="0"/>
    <n v="-20840"/>
    <n v="-0.13950997456152095"/>
  </r>
  <r>
    <x v="10"/>
    <x v="34"/>
    <x v="340"/>
    <n v="1"/>
    <n v="2"/>
    <n v="284750"/>
    <x v="10"/>
    <x v="34"/>
    <n v="8.8495575221238937E-3"/>
    <n v="4"/>
    <n v="5"/>
    <n v="738070"/>
    <x v="10"/>
    <n v="0.41626794258373206"/>
    <n v="2.8735632183908046E-2"/>
    <x v="11"/>
    <n v="1.5"/>
    <n v="453320"/>
    <n v="1.5919929762949956"/>
  </r>
  <r>
    <x v="10"/>
    <x v="34"/>
    <x v="341"/>
    <n v="1"/>
    <n v="2"/>
    <n v="308000"/>
    <x v="10"/>
    <x v="34"/>
    <n v="8.8495575221238937E-3"/>
    <n v="0"/>
    <n v="0"/>
    <n v="0"/>
    <x v="10"/>
    <n v="0.41626794258373206"/>
    <n v="0"/>
    <x v="14"/>
    <n v="-1"/>
    <n v="-308000"/>
    <n v="-1"/>
  </r>
  <r>
    <x v="10"/>
    <x v="34"/>
    <x v="342"/>
    <n v="0"/>
    <n v="0"/>
    <n v="0"/>
    <x v="10"/>
    <x v="34"/>
    <n v="0"/>
    <n v="0"/>
    <n v="0"/>
    <n v="-9200"/>
    <x v="10"/>
    <n v="0.41626794258373206"/>
    <n v="0"/>
    <x v="16"/>
    <n v="0"/>
    <n v="-9200"/>
    <n v="0"/>
  </r>
  <r>
    <x v="10"/>
    <x v="34"/>
    <x v="343"/>
    <n v="3"/>
    <n v="4"/>
    <n v="588690"/>
    <x v="10"/>
    <x v="34"/>
    <n v="1.7699115044247787E-2"/>
    <n v="3"/>
    <n v="5"/>
    <n v="732010"/>
    <x v="10"/>
    <n v="0.41626794258373206"/>
    <n v="2.8735632183908046E-2"/>
    <x v="13"/>
    <n v="0.25"/>
    <n v="143320"/>
    <n v="0.2434558086599059"/>
  </r>
  <r>
    <x v="10"/>
    <x v="34"/>
    <x v="344"/>
    <n v="25"/>
    <n v="35"/>
    <n v="5088440"/>
    <x v="10"/>
    <x v="34"/>
    <n v="0.15486725663716813"/>
    <n v="14"/>
    <n v="19"/>
    <n v="2726020"/>
    <x v="10"/>
    <n v="0.41626794258373206"/>
    <n v="0.10919540229885058"/>
    <x v="55"/>
    <n v="-0.45714285714285713"/>
    <n v="-2362420"/>
    <n v="-0.46427195761372836"/>
  </r>
  <r>
    <x v="10"/>
    <x v="34"/>
    <x v="345"/>
    <n v="0"/>
    <n v="0"/>
    <n v="0"/>
    <x v="10"/>
    <x v="34"/>
    <n v="0"/>
    <n v="1"/>
    <n v="1"/>
    <n v="164470"/>
    <x v="10"/>
    <n v="0.41626794258373206"/>
    <n v="5.7471264367816091E-3"/>
    <x v="13"/>
    <n v="1"/>
    <n v="164470"/>
    <n v="1"/>
  </r>
  <r>
    <x v="10"/>
    <x v="34"/>
    <x v="346"/>
    <n v="7"/>
    <n v="8"/>
    <n v="1363830"/>
    <x v="10"/>
    <x v="34"/>
    <n v="3.5398230088495575E-2"/>
    <n v="6"/>
    <n v="6"/>
    <n v="1041970"/>
    <x v="10"/>
    <n v="0.41626794258373206"/>
    <n v="3.4482758620689655E-2"/>
    <x v="14"/>
    <n v="-0.25"/>
    <n v="-321860"/>
    <n v="-0.23599715507064664"/>
  </r>
  <r>
    <x v="10"/>
    <x v="34"/>
    <x v="347"/>
    <n v="2"/>
    <n v="2"/>
    <n v="357120"/>
    <x v="10"/>
    <x v="34"/>
    <n v="8.8495575221238937E-3"/>
    <n v="1"/>
    <n v="1"/>
    <n v="168780"/>
    <x v="10"/>
    <n v="0.41626794258373206"/>
    <n v="5.7471264367816091E-3"/>
    <x v="15"/>
    <n v="-0.5"/>
    <n v="-188340"/>
    <n v="-0.527385752688172"/>
  </r>
  <r>
    <x v="10"/>
    <x v="34"/>
    <x v="348"/>
    <n v="2"/>
    <n v="2"/>
    <n v="348030"/>
    <x v="10"/>
    <x v="34"/>
    <n v="8.8495575221238937E-3"/>
    <n v="0"/>
    <n v="0"/>
    <n v="0"/>
    <x v="10"/>
    <n v="0.41626794258373206"/>
    <n v="0"/>
    <x v="14"/>
    <n v="-1"/>
    <n v="-348030"/>
    <n v="-1"/>
  </r>
  <r>
    <x v="10"/>
    <x v="34"/>
    <x v="349"/>
    <n v="13"/>
    <n v="16"/>
    <n v="2691210"/>
    <x v="10"/>
    <x v="34"/>
    <n v="7.0796460176991149E-2"/>
    <n v="14"/>
    <n v="16"/>
    <n v="2759790"/>
    <x v="10"/>
    <n v="0.41626794258373206"/>
    <n v="9.1954022988505746E-2"/>
    <x v="16"/>
    <n v="0"/>
    <n v="68580"/>
    <n v="2.5482961195893297E-2"/>
  </r>
  <r>
    <x v="10"/>
    <x v="34"/>
    <x v="350"/>
    <n v="3"/>
    <n v="4"/>
    <n v="477090"/>
    <x v="10"/>
    <x v="34"/>
    <n v="1.7699115044247787E-2"/>
    <n v="6"/>
    <n v="6"/>
    <n v="733530"/>
    <x v="10"/>
    <n v="0.41626794258373206"/>
    <n v="3.4482758620689655E-2"/>
    <x v="17"/>
    <n v="0.5"/>
    <n v="256440"/>
    <n v="0.5375086461673898"/>
  </r>
  <r>
    <x v="10"/>
    <x v="34"/>
    <x v="351"/>
    <n v="0"/>
    <n v="0"/>
    <n v="0"/>
    <x v="10"/>
    <x v="34"/>
    <n v="0"/>
    <n v="3"/>
    <n v="3"/>
    <n v="358040"/>
    <x v="10"/>
    <n v="0.41626794258373206"/>
    <n v="1.7241379310344827E-2"/>
    <x v="11"/>
    <n v="1"/>
    <n v="358040"/>
    <n v="1"/>
  </r>
  <r>
    <x v="10"/>
    <x v="34"/>
    <x v="352"/>
    <n v="0"/>
    <n v="0"/>
    <n v="0"/>
    <x v="10"/>
    <x v="34"/>
    <n v="0"/>
    <n v="2"/>
    <n v="2"/>
    <n v="258000"/>
    <x v="10"/>
    <n v="0.41626794258373206"/>
    <n v="1.1494252873563218E-2"/>
    <x v="17"/>
    <n v="1"/>
    <n v="258000"/>
    <n v="1"/>
  </r>
  <r>
    <x v="10"/>
    <x v="34"/>
    <x v="353"/>
    <n v="0"/>
    <n v="0"/>
    <n v="0"/>
    <x v="10"/>
    <x v="34"/>
    <n v="0"/>
    <n v="3"/>
    <n v="3"/>
    <n v="379250"/>
    <x v="10"/>
    <n v="0.41626794258373206"/>
    <n v="1.7241379310344827E-2"/>
    <x v="11"/>
    <n v="1"/>
    <n v="379250"/>
    <n v="1"/>
  </r>
  <r>
    <x v="10"/>
    <x v="34"/>
    <x v="354"/>
    <n v="25"/>
    <n v="29"/>
    <n v="3512190"/>
    <x v="10"/>
    <x v="34"/>
    <n v="0.12831858407079647"/>
    <n v="20"/>
    <n v="24"/>
    <n v="2878420"/>
    <x v="10"/>
    <n v="0.41626794258373206"/>
    <n v="0.13793103448275862"/>
    <x v="25"/>
    <n v="-0.17241379310344829"/>
    <n v="-633770"/>
    <n v="-0.18044866593208225"/>
  </r>
  <r>
    <x v="10"/>
    <x v="35"/>
    <x v="355"/>
    <n v="0"/>
    <n v="0"/>
    <n v="0"/>
    <x v="10"/>
    <x v="35"/>
    <n v="0"/>
    <n v="2"/>
    <n v="2"/>
    <n v="650200"/>
    <x v="10"/>
    <n v="7.6555023923444973E-2"/>
    <n v="6.25E-2"/>
    <x v="17"/>
    <n v="1"/>
    <n v="650200"/>
    <n v="1"/>
  </r>
  <r>
    <x v="10"/>
    <x v="35"/>
    <x v="356"/>
    <n v="2"/>
    <n v="2"/>
    <n v="626030"/>
    <x v="10"/>
    <x v="35"/>
    <n v="0.08"/>
    <n v="2"/>
    <n v="3"/>
    <n v="955400"/>
    <x v="10"/>
    <n v="7.6555023923444973E-2"/>
    <n v="9.375E-2"/>
    <x v="13"/>
    <n v="0.5"/>
    <n v="329370"/>
    <n v="0.52612494608884564"/>
  </r>
  <r>
    <x v="10"/>
    <x v="35"/>
    <x v="357"/>
    <n v="2"/>
    <n v="2"/>
    <n v="544590"/>
    <x v="10"/>
    <x v="35"/>
    <n v="0.08"/>
    <n v="2"/>
    <n v="2"/>
    <n v="570000"/>
    <x v="10"/>
    <n v="7.6555023923444973E-2"/>
    <n v="6.25E-2"/>
    <x v="16"/>
    <n v="0"/>
    <n v="25410"/>
    <n v="4.6658954442791827E-2"/>
  </r>
  <r>
    <x v="10"/>
    <x v="35"/>
    <x v="358"/>
    <n v="2"/>
    <n v="3"/>
    <n v="807200"/>
    <x v="10"/>
    <x v="35"/>
    <n v="0.12"/>
    <n v="1"/>
    <n v="1"/>
    <n v="276710"/>
    <x v="10"/>
    <n v="7.6555023923444973E-2"/>
    <n v="3.125E-2"/>
    <x v="14"/>
    <n v="-0.66666666666666663"/>
    <n v="-530490"/>
    <n v="-0.65719772051536174"/>
  </r>
  <r>
    <x v="10"/>
    <x v="35"/>
    <x v="359"/>
    <n v="0"/>
    <n v="0"/>
    <n v="0"/>
    <x v="10"/>
    <x v="35"/>
    <n v="0"/>
    <n v="1"/>
    <n v="1"/>
    <n v="385000"/>
    <x v="10"/>
    <n v="7.6555023923444973E-2"/>
    <n v="3.125E-2"/>
    <x v="13"/>
    <n v="1"/>
    <n v="385000"/>
    <n v="1"/>
  </r>
  <r>
    <x v="10"/>
    <x v="35"/>
    <x v="360"/>
    <n v="2"/>
    <n v="2"/>
    <n v="692250"/>
    <x v="10"/>
    <x v="35"/>
    <n v="0.08"/>
    <n v="0"/>
    <n v="0"/>
    <n v="0"/>
    <x v="10"/>
    <n v="7.6555023923444973E-2"/>
    <n v="0"/>
    <x v="14"/>
    <n v="-1"/>
    <n v="-692250"/>
    <n v="-1"/>
  </r>
  <r>
    <x v="10"/>
    <x v="35"/>
    <x v="361"/>
    <n v="2"/>
    <n v="2"/>
    <n v="724490"/>
    <x v="10"/>
    <x v="35"/>
    <n v="0.08"/>
    <n v="3"/>
    <n v="3"/>
    <n v="1061170"/>
    <x v="10"/>
    <n v="7.6555023923444973E-2"/>
    <n v="9.375E-2"/>
    <x v="13"/>
    <n v="0.5"/>
    <n v="336680"/>
    <n v="0.4647131085315187"/>
  </r>
  <r>
    <x v="10"/>
    <x v="35"/>
    <x v="362"/>
    <n v="3"/>
    <n v="3"/>
    <n v="464730"/>
    <x v="10"/>
    <x v="35"/>
    <n v="0.12"/>
    <n v="2"/>
    <n v="2"/>
    <n v="305650"/>
    <x v="10"/>
    <n v="7.6555023923444973E-2"/>
    <n v="6.25E-2"/>
    <x v="15"/>
    <n v="-0.33333333333333331"/>
    <n v="-159080"/>
    <n v="-0.3423062853699998"/>
  </r>
  <r>
    <x v="10"/>
    <x v="35"/>
    <x v="363"/>
    <n v="2"/>
    <n v="2"/>
    <n v="305660"/>
    <x v="10"/>
    <x v="35"/>
    <n v="0.08"/>
    <n v="0"/>
    <n v="0"/>
    <n v="0"/>
    <x v="10"/>
    <n v="7.6555023923444973E-2"/>
    <n v="0"/>
    <x v="14"/>
    <n v="-1"/>
    <n v="-305660"/>
    <n v="-1"/>
  </r>
  <r>
    <x v="10"/>
    <x v="35"/>
    <x v="364"/>
    <n v="1"/>
    <n v="1"/>
    <n v="159080"/>
    <x v="10"/>
    <x v="35"/>
    <n v="0.04"/>
    <n v="1"/>
    <n v="1"/>
    <n v="152770"/>
    <x v="10"/>
    <n v="7.6555023923444973E-2"/>
    <n v="3.125E-2"/>
    <x v="16"/>
    <n v="0"/>
    <n v="-6310"/>
    <n v="-3.9665577068141812E-2"/>
  </r>
  <r>
    <x v="10"/>
    <x v="35"/>
    <x v="365"/>
    <n v="1"/>
    <n v="1"/>
    <n v="154300"/>
    <x v="10"/>
    <x v="35"/>
    <n v="0.04"/>
    <n v="9"/>
    <n v="10"/>
    <n v="1529580"/>
    <x v="10"/>
    <n v="7.6555023923444973E-2"/>
    <n v="0.3125"/>
    <x v="23"/>
    <n v="9"/>
    <n v="1375280"/>
    <n v="8.9130265716137398"/>
  </r>
  <r>
    <x v="10"/>
    <x v="35"/>
    <x v="366"/>
    <n v="4"/>
    <n v="6"/>
    <n v="1376040"/>
    <x v="10"/>
    <x v="35"/>
    <n v="0.24"/>
    <n v="0"/>
    <n v="0"/>
    <n v="0"/>
    <x v="10"/>
    <n v="7.6555023923444973E-2"/>
    <n v="0"/>
    <x v="26"/>
    <n v="-1"/>
    <n v="-1376040"/>
    <n v="-1"/>
  </r>
  <r>
    <x v="10"/>
    <x v="35"/>
    <x v="367"/>
    <n v="0"/>
    <n v="0"/>
    <n v="0"/>
    <x v="10"/>
    <x v="35"/>
    <n v="0"/>
    <n v="1"/>
    <n v="1"/>
    <n v="230520"/>
    <x v="10"/>
    <n v="7.6555023923444973E-2"/>
    <n v="3.125E-2"/>
    <x v="13"/>
    <n v="1"/>
    <n v="230520"/>
    <n v="1"/>
  </r>
  <r>
    <x v="10"/>
    <x v="35"/>
    <x v="368"/>
    <n v="1"/>
    <n v="1"/>
    <n v="230520"/>
    <x v="10"/>
    <x v="35"/>
    <n v="0.04"/>
    <n v="0"/>
    <n v="0"/>
    <n v="0"/>
    <x v="10"/>
    <n v="7.6555023923444973E-2"/>
    <n v="0"/>
    <x v="15"/>
    <n v="-1"/>
    <n v="-230520"/>
    <n v="-1"/>
  </r>
  <r>
    <x v="10"/>
    <x v="35"/>
    <x v="369"/>
    <n v="0"/>
    <n v="0"/>
    <n v="0"/>
    <x v="10"/>
    <x v="35"/>
    <n v="0"/>
    <n v="5"/>
    <n v="6"/>
    <n v="1374860"/>
    <x v="10"/>
    <n v="7.6555023923444973E-2"/>
    <n v="0.1875"/>
    <x v="24"/>
    <n v="1"/>
    <n v="1374860"/>
    <n v="1"/>
  </r>
  <r>
    <x v="10"/>
    <x v="36"/>
    <x v="370"/>
    <n v="13"/>
    <n v="16"/>
    <n v="3988840"/>
    <x v="10"/>
    <x v="36"/>
    <n v="7.2398190045248875E-2"/>
    <n v="9"/>
    <n v="10"/>
    <n v="2532670"/>
    <x v="10"/>
    <n v="0.50717703349282295"/>
    <n v="4.716981132075472E-2"/>
    <x v="26"/>
    <n v="-0.375"/>
    <n v="-1456170"/>
    <n v="-0.36506102024648768"/>
  </r>
  <r>
    <x v="10"/>
    <x v="36"/>
    <x v="371"/>
    <n v="2"/>
    <n v="3"/>
    <n v="747760"/>
    <x v="10"/>
    <x v="36"/>
    <n v="1.3574660633484163E-2"/>
    <n v="1"/>
    <n v="1"/>
    <n v="260930"/>
    <x v="10"/>
    <n v="0.50717703349282295"/>
    <n v="4.7169811320754715E-3"/>
    <x v="14"/>
    <n v="-0.66666666666666663"/>
    <n v="-486830"/>
    <n v="-0.65105113940301707"/>
  </r>
  <r>
    <x v="10"/>
    <x v="36"/>
    <x v="372"/>
    <n v="20"/>
    <n v="22"/>
    <n v="5433500"/>
    <x v="10"/>
    <x v="36"/>
    <n v="9.9547511312217188E-2"/>
    <n v="13"/>
    <n v="14"/>
    <n v="3513370"/>
    <x v="10"/>
    <n v="0.50717703349282295"/>
    <n v="6.6037735849056603E-2"/>
    <x v="4"/>
    <n v="-0.36363636363636365"/>
    <n v="-1920130"/>
    <n v="-0.35338731940738016"/>
  </r>
  <r>
    <x v="10"/>
    <x v="36"/>
    <x v="373"/>
    <n v="4"/>
    <n v="4"/>
    <n v="1221810"/>
    <x v="10"/>
    <x v="36"/>
    <n v="1.8099547511312219E-2"/>
    <n v="10"/>
    <n v="11"/>
    <n v="3577230"/>
    <x v="10"/>
    <n v="0.50717703349282295"/>
    <n v="5.1886792452830191E-2"/>
    <x v="28"/>
    <n v="1.75"/>
    <n v="2355420"/>
    <n v="1.9278120165983255"/>
  </r>
  <r>
    <x v="10"/>
    <x v="36"/>
    <x v="374"/>
    <n v="1"/>
    <n v="1"/>
    <n v="328370"/>
    <x v="10"/>
    <x v="36"/>
    <n v="4.5248868778280547E-3"/>
    <n v="1"/>
    <n v="1"/>
    <n v="349000"/>
    <x v="10"/>
    <n v="0.50717703349282295"/>
    <n v="4.7169811320754715E-3"/>
    <x v="16"/>
    <n v="0"/>
    <n v="20630"/>
    <n v="6.2825471267168129E-2"/>
  </r>
  <r>
    <x v="10"/>
    <x v="36"/>
    <x v="375"/>
    <n v="2"/>
    <n v="2"/>
    <n v="616450"/>
    <x v="10"/>
    <x v="36"/>
    <n v="9.0497737556561094E-3"/>
    <n v="2"/>
    <n v="2"/>
    <n v="666970"/>
    <x v="10"/>
    <n v="0.50717703349282295"/>
    <n v="9.433962264150943E-3"/>
    <x v="16"/>
    <n v="0"/>
    <n v="50520"/>
    <n v="8.1953118663314131E-2"/>
  </r>
  <r>
    <x v="10"/>
    <x v="36"/>
    <x v="376"/>
    <n v="13"/>
    <n v="13"/>
    <n v="4221900"/>
    <x v="10"/>
    <x v="36"/>
    <n v="5.8823529411764705E-2"/>
    <n v="12"/>
    <n v="16"/>
    <n v="5216380"/>
    <x v="10"/>
    <n v="0.50717703349282295"/>
    <n v="7.5471698113207544E-2"/>
    <x v="11"/>
    <n v="0.23076923076923078"/>
    <n v="994480"/>
    <n v="0.23555271323337834"/>
  </r>
  <r>
    <x v="10"/>
    <x v="36"/>
    <x v="377"/>
    <n v="1"/>
    <n v="1"/>
    <n v="177830"/>
    <x v="10"/>
    <x v="36"/>
    <n v="4.5248868778280547E-3"/>
    <n v="1"/>
    <n v="1"/>
    <n v="177840"/>
    <x v="10"/>
    <n v="0.50717703349282295"/>
    <n v="4.7169811320754715E-3"/>
    <x v="16"/>
    <n v="0"/>
    <n v="10"/>
    <n v="5.623348141483439E-5"/>
  </r>
  <r>
    <x v="10"/>
    <x v="36"/>
    <x v="378"/>
    <n v="8"/>
    <n v="10"/>
    <n v="1779460"/>
    <x v="10"/>
    <x v="36"/>
    <n v="4.5248868778280542E-2"/>
    <n v="7"/>
    <n v="7"/>
    <n v="1248650"/>
    <x v="10"/>
    <n v="0.50717703349282295"/>
    <n v="3.3018867924528301E-2"/>
    <x v="12"/>
    <n v="-0.3"/>
    <n v="-530810"/>
    <n v="-0.29829836017668282"/>
  </r>
  <r>
    <x v="10"/>
    <x v="36"/>
    <x v="379"/>
    <n v="2"/>
    <n v="2"/>
    <n v="346770"/>
    <x v="10"/>
    <x v="36"/>
    <n v="9.0497737556561094E-3"/>
    <n v="0"/>
    <n v="-5"/>
    <n v="-878000"/>
    <x v="10"/>
    <n v="0.50717703349282295"/>
    <n v="-2.358490566037736E-2"/>
    <x v="53"/>
    <n v="-3.5"/>
    <n v="-1224770"/>
    <n v="-3.5319375955244108"/>
  </r>
  <r>
    <x v="10"/>
    <x v="36"/>
    <x v="380"/>
    <n v="3"/>
    <n v="3"/>
    <n v="532090"/>
    <x v="10"/>
    <x v="36"/>
    <n v="1.3574660633484163E-2"/>
    <n v="2"/>
    <n v="2"/>
    <n v="334410"/>
    <x v="10"/>
    <n v="0.50717703349282295"/>
    <n v="9.433962264150943E-3"/>
    <x v="15"/>
    <n v="-0.33333333333333331"/>
    <n v="-197680"/>
    <n v="-0.37151609690090021"/>
  </r>
  <r>
    <x v="10"/>
    <x v="36"/>
    <x v="381"/>
    <n v="13"/>
    <n v="17"/>
    <n v="3019880"/>
    <x v="10"/>
    <x v="36"/>
    <n v="7.6923076923076927E-2"/>
    <n v="13"/>
    <n v="18"/>
    <n v="3231820"/>
    <x v="10"/>
    <n v="0.50717703349282295"/>
    <n v="8.4905660377358486E-2"/>
    <x v="13"/>
    <n v="5.8823529411764705E-2"/>
    <n v="211940"/>
    <n v="7.0181596619733236E-2"/>
  </r>
  <r>
    <x v="10"/>
    <x v="36"/>
    <x v="382"/>
    <n v="3"/>
    <n v="3"/>
    <n v="783020"/>
    <x v="10"/>
    <x v="36"/>
    <n v="1.3574660633484163E-2"/>
    <n v="3"/>
    <n v="3"/>
    <n v="767160"/>
    <x v="10"/>
    <n v="0.50717703349282295"/>
    <n v="1.4150943396226415E-2"/>
    <x v="16"/>
    <n v="0"/>
    <n v="-15860"/>
    <n v="-2.025491047482823E-2"/>
  </r>
  <r>
    <x v="10"/>
    <x v="36"/>
    <x v="383"/>
    <n v="0"/>
    <n v="0"/>
    <n v="0"/>
    <x v="10"/>
    <x v="36"/>
    <n v="0"/>
    <n v="2"/>
    <n v="3"/>
    <n v="748310"/>
    <x v="10"/>
    <n v="0.50717703349282295"/>
    <n v="1.4150943396226415E-2"/>
    <x v="11"/>
    <n v="1"/>
    <n v="748310"/>
    <n v="1"/>
  </r>
  <r>
    <x v="10"/>
    <x v="36"/>
    <x v="384"/>
    <n v="1"/>
    <n v="1"/>
    <n v="260920"/>
    <x v="10"/>
    <x v="36"/>
    <n v="4.5248868778280547E-3"/>
    <n v="0"/>
    <n v="0"/>
    <n v="0"/>
    <x v="10"/>
    <n v="0.50717703349282295"/>
    <n v="0"/>
    <x v="15"/>
    <n v="-1"/>
    <n v="-260920"/>
    <n v="-1"/>
  </r>
  <r>
    <x v="10"/>
    <x v="36"/>
    <x v="385"/>
    <n v="3"/>
    <n v="3"/>
    <n v="726880"/>
    <x v="10"/>
    <x v="36"/>
    <n v="1.3574660633484163E-2"/>
    <n v="6"/>
    <n v="7"/>
    <n v="1730770"/>
    <x v="10"/>
    <n v="0.50717703349282295"/>
    <n v="3.3018867924528301E-2"/>
    <x v="20"/>
    <n v="1.3333333333333333"/>
    <n v="1003890"/>
    <n v="1.3810945410521682"/>
  </r>
  <r>
    <x v="10"/>
    <x v="36"/>
    <x v="386"/>
    <n v="3"/>
    <n v="3"/>
    <n v="596750"/>
    <x v="10"/>
    <x v="36"/>
    <n v="1.3574660633484163E-2"/>
    <n v="1"/>
    <n v="1"/>
    <n v="192180"/>
    <x v="10"/>
    <n v="0.50717703349282295"/>
    <n v="4.7169811320754715E-3"/>
    <x v="14"/>
    <n v="-0.66666666666666663"/>
    <n v="-404570"/>
    <n v="-0.67795559279430251"/>
  </r>
  <r>
    <x v="10"/>
    <x v="36"/>
    <x v="387"/>
    <n v="12"/>
    <n v="16"/>
    <n v="3179730"/>
    <x v="10"/>
    <x v="36"/>
    <n v="7.2398190045248875E-2"/>
    <n v="10"/>
    <n v="11"/>
    <n v="2220280"/>
    <x v="10"/>
    <n v="0.50717703349282295"/>
    <n v="5.1886792452830191E-2"/>
    <x v="25"/>
    <n v="-0.3125"/>
    <n v="-959450"/>
    <n v="-0.30173945586574963"/>
  </r>
  <r>
    <x v="10"/>
    <x v="36"/>
    <x v="388"/>
    <n v="5"/>
    <n v="6"/>
    <n v="1232730"/>
    <x v="10"/>
    <x v="36"/>
    <n v="2.7149321266968326E-2"/>
    <n v="3"/>
    <n v="3"/>
    <n v="603020"/>
    <x v="10"/>
    <n v="0.50717703349282295"/>
    <n v="1.4150943396226415E-2"/>
    <x v="12"/>
    <n v="-0.5"/>
    <n v="-629710"/>
    <n v="-0.51082556602013418"/>
  </r>
  <r>
    <x v="10"/>
    <x v="36"/>
    <x v="389"/>
    <n v="1"/>
    <n v="1"/>
    <n v="192170"/>
    <x v="10"/>
    <x v="36"/>
    <n v="4.5248868778280547E-3"/>
    <n v="4"/>
    <n v="4"/>
    <n v="828120"/>
    <x v="10"/>
    <n v="0.50717703349282295"/>
    <n v="1.8867924528301886E-2"/>
    <x v="11"/>
    <n v="3"/>
    <n v="635950"/>
    <n v="3.3093094655773534"/>
  </r>
  <r>
    <x v="10"/>
    <x v="36"/>
    <x v="390"/>
    <n v="13"/>
    <n v="14"/>
    <n v="2819120"/>
    <x v="10"/>
    <x v="36"/>
    <n v="6.3348416289592757E-2"/>
    <n v="16"/>
    <n v="19"/>
    <n v="3816150"/>
    <x v="10"/>
    <n v="0.50717703349282295"/>
    <n v="8.9622641509433956E-2"/>
    <x v="47"/>
    <n v="0.35714285714285715"/>
    <n v="997030"/>
    <n v="0.35366710179062971"/>
  </r>
  <r>
    <x v="10"/>
    <x v="36"/>
    <x v="391"/>
    <n v="2"/>
    <n v="4"/>
    <n v="1111080"/>
    <x v="10"/>
    <x v="36"/>
    <n v="1.8099547511312219E-2"/>
    <n v="2"/>
    <n v="2"/>
    <n v="529460"/>
    <x v="10"/>
    <n v="0.50717703349282295"/>
    <n v="9.433962264150943E-3"/>
    <x v="14"/>
    <n v="-0.5"/>
    <n v="-581620"/>
    <n v="-0.52347265723440262"/>
  </r>
  <r>
    <x v="10"/>
    <x v="36"/>
    <x v="392"/>
    <n v="5"/>
    <n v="6"/>
    <n v="1534090"/>
    <x v="10"/>
    <x v="36"/>
    <n v="2.7149321266968326E-2"/>
    <n v="8"/>
    <n v="8"/>
    <n v="2175440"/>
    <x v="10"/>
    <n v="0.50717703349282295"/>
    <n v="3.7735849056603772E-2"/>
    <x v="17"/>
    <n v="0.33333333333333331"/>
    <n v="641350"/>
    <n v="0.41806543292766396"/>
  </r>
  <r>
    <x v="10"/>
    <x v="36"/>
    <x v="393"/>
    <n v="1"/>
    <n v="2"/>
    <n v="564000"/>
    <x v="10"/>
    <x v="36"/>
    <n v="9.0497737556561094E-3"/>
    <n v="0"/>
    <n v="0"/>
    <n v="0"/>
    <x v="10"/>
    <n v="0.50717703349282295"/>
    <n v="0"/>
    <x v="14"/>
    <n v="-1"/>
    <n v="-564000"/>
    <n v="-1"/>
  </r>
  <r>
    <x v="10"/>
    <x v="36"/>
    <x v="394"/>
    <n v="1"/>
    <n v="1"/>
    <n v="265330"/>
    <x v="10"/>
    <x v="36"/>
    <n v="4.5248868778280547E-3"/>
    <n v="2"/>
    <n v="2"/>
    <n v="519960"/>
    <x v="10"/>
    <n v="0.50717703349282295"/>
    <n v="9.433962264150943E-3"/>
    <x v="13"/>
    <n v="1"/>
    <n v="254630"/>
    <n v="0.95967286021181175"/>
  </r>
  <r>
    <x v="10"/>
    <x v="36"/>
    <x v="395"/>
    <n v="14"/>
    <n v="19"/>
    <n v="4987080"/>
    <x v="10"/>
    <x v="36"/>
    <n v="8.5972850678733032E-2"/>
    <n v="17"/>
    <n v="18"/>
    <n v="4738910"/>
    <x v="10"/>
    <n v="0.50717703349282295"/>
    <n v="8.4905660377358486E-2"/>
    <x v="15"/>
    <n v="-5.2631578947368418E-2"/>
    <n v="-248170"/>
    <n v="-4.9762586523576922E-2"/>
  </r>
  <r>
    <x v="10"/>
    <x v="36"/>
    <x v="396"/>
    <n v="4"/>
    <n v="5"/>
    <n v="1232550"/>
    <x v="10"/>
    <x v="36"/>
    <n v="2.2624434389140271E-2"/>
    <n v="1"/>
    <n v="2"/>
    <n v="498000"/>
    <x v="10"/>
    <n v="0.50717703349282295"/>
    <n v="9.433962264150943E-3"/>
    <x v="12"/>
    <n v="-0.6"/>
    <n v="-734550"/>
    <n v="-0.59595959595959591"/>
  </r>
  <r>
    <x v="10"/>
    <x v="36"/>
    <x v="397"/>
    <n v="0"/>
    <n v="0"/>
    <n v="0"/>
    <x v="10"/>
    <x v="36"/>
    <n v="0"/>
    <n v="1"/>
    <n v="1"/>
    <n v="241530"/>
    <x v="10"/>
    <n v="0.50717703349282295"/>
    <n v="4.7169811320754715E-3"/>
    <x v="13"/>
    <n v="1"/>
    <n v="241530"/>
    <n v="1"/>
  </r>
  <r>
    <x v="10"/>
    <x v="36"/>
    <x v="398"/>
    <n v="1"/>
    <n v="1"/>
    <n v="222570"/>
    <x v="10"/>
    <x v="36"/>
    <n v="4.5248868778280547E-3"/>
    <n v="1"/>
    <n v="2"/>
    <n v="483060"/>
    <x v="10"/>
    <n v="0.50717703349282295"/>
    <n v="9.433962264150943E-3"/>
    <x v="13"/>
    <n v="1"/>
    <n v="260490"/>
    <n v="1.1703733656827067"/>
  </r>
  <r>
    <x v="10"/>
    <x v="36"/>
    <x v="399"/>
    <n v="1"/>
    <n v="1"/>
    <n v="309420"/>
    <x v="10"/>
    <x v="36"/>
    <n v="4.5248868778280547E-3"/>
    <n v="0"/>
    <n v="0"/>
    <n v="0"/>
    <x v="10"/>
    <n v="0.50717703349282295"/>
    <n v="0"/>
    <x v="15"/>
    <n v="-1"/>
    <n v="-309420"/>
    <n v="-1"/>
  </r>
  <r>
    <x v="10"/>
    <x v="36"/>
    <x v="400"/>
    <n v="0"/>
    <n v="0"/>
    <n v="0"/>
    <x v="10"/>
    <x v="36"/>
    <n v="0"/>
    <n v="2"/>
    <n v="2"/>
    <n v="628430"/>
    <x v="10"/>
    <n v="0.50717703349282295"/>
    <n v="9.433962264150943E-3"/>
    <x v="17"/>
    <n v="1"/>
    <n v="628430"/>
    <n v="1"/>
  </r>
  <r>
    <x v="10"/>
    <x v="36"/>
    <x v="401"/>
    <n v="1"/>
    <n v="1"/>
    <n v="289560"/>
    <x v="10"/>
    <x v="36"/>
    <n v="4.5248868778280547E-3"/>
    <n v="0"/>
    <n v="0"/>
    <n v="0"/>
    <x v="10"/>
    <n v="0.50717703349282295"/>
    <n v="0"/>
    <x v="15"/>
    <n v="-1"/>
    <n v="-289560"/>
    <n v="-1"/>
  </r>
  <r>
    <x v="10"/>
    <x v="36"/>
    <x v="402"/>
    <n v="13"/>
    <n v="15"/>
    <n v="2349650"/>
    <x v="10"/>
    <x v="36"/>
    <n v="6.7873303167420809E-2"/>
    <n v="6"/>
    <n v="6"/>
    <n v="920900"/>
    <x v="10"/>
    <n v="0.50717703349282295"/>
    <n v="2.8301886792452831E-2"/>
    <x v="52"/>
    <n v="-0.6"/>
    <n v="-1428750"/>
    <n v="-0.60806928691507245"/>
  </r>
  <r>
    <x v="10"/>
    <x v="36"/>
    <x v="403"/>
    <n v="4"/>
    <n v="4"/>
    <n v="631570"/>
    <x v="10"/>
    <x v="36"/>
    <n v="1.8099547511312219E-2"/>
    <n v="0"/>
    <n v="0"/>
    <n v="0"/>
    <x v="10"/>
    <n v="0.50717703349282295"/>
    <n v="0"/>
    <x v="18"/>
    <n v="-1"/>
    <n v="-631570"/>
    <n v="-1"/>
  </r>
  <r>
    <x v="10"/>
    <x v="36"/>
    <x v="404"/>
    <n v="1"/>
    <n v="1"/>
    <n v="146580"/>
    <x v="10"/>
    <x v="36"/>
    <n v="4.5248868778280547E-3"/>
    <n v="3"/>
    <n v="4"/>
    <n v="641390"/>
    <x v="10"/>
    <n v="0.50717703349282295"/>
    <n v="1.8867924528301886E-2"/>
    <x v="11"/>
    <n v="3"/>
    <n v="494810"/>
    <n v="3.3756992768454088"/>
  </r>
  <r>
    <x v="10"/>
    <x v="36"/>
    <x v="405"/>
    <n v="10"/>
    <n v="11"/>
    <n v="1731840"/>
    <x v="10"/>
    <x v="36"/>
    <n v="4.9773755656108594E-2"/>
    <n v="18"/>
    <n v="21"/>
    <n v="3265290"/>
    <x v="10"/>
    <n v="0.50717703349282295"/>
    <n v="9.9056603773584911E-2"/>
    <x v="49"/>
    <n v="0.90909090909090906"/>
    <n v="1533450"/>
    <n v="0.88544553769401335"/>
  </r>
  <r>
    <x v="10"/>
    <x v="36"/>
    <x v="406"/>
    <n v="4"/>
    <n v="6"/>
    <n v="1351760"/>
    <x v="10"/>
    <x v="36"/>
    <n v="2.7149321266968326E-2"/>
    <n v="3"/>
    <n v="3"/>
    <n v="651100"/>
    <x v="10"/>
    <n v="0.50717703349282295"/>
    <n v="1.4150943396226415E-2"/>
    <x v="12"/>
    <n v="-0.5"/>
    <n v="-700660"/>
    <n v="-0.51833165650707225"/>
  </r>
  <r>
    <x v="10"/>
    <x v="36"/>
    <x v="407"/>
    <n v="1"/>
    <n v="1"/>
    <n v="231000"/>
    <x v="10"/>
    <x v="36"/>
    <n v="4.5248868778280547E-3"/>
    <n v="0"/>
    <n v="0"/>
    <n v="0"/>
    <x v="10"/>
    <n v="0.50717703349282295"/>
    <n v="0"/>
    <x v="15"/>
    <n v="-1"/>
    <n v="-231000"/>
    <n v="-1"/>
  </r>
  <r>
    <x v="10"/>
    <x v="36"/>
    <x v="408"/>
    <n v="0"/>
    <n v="0"/>
    <n v="0"/>
    <x v="10"/>
    <x v="36"/>
    <n v="0"/>
    <n v="3"/>
    <n v="3"/>
    <n v="661570"/>
    <x v="10"/>
    <n v="0.50717703349282295"/>
    <n v="1.4150943396226415E-2"/>
    <x v="11"/>
    <n v="1"/>
    <n v="661570"/>
    <n v="1"/>
  </r>
  <r>
    <x v="10"/>
    <x v="36"/>
    <x v="409"/>
    <n v="2"/>
    <n v="2"/>
    <n v="388190"/>
    <x v="10"/>
    <x v="36"/>
    <n v="9.0497737556561094E-3"/>
    <n v="9"/>
    <n v="9"/>
    <n v="1959110"/>
    <x v="10"/>
    <n v="0.50717703349282295"/>
    <n v="4.2452830188679243E-2"/>
    <x v="28"/>
    <n v="3.5"/>
    <n v="1570920"/>
    <n v="4.0467812153842191"/>
  </r>
  <r>
    <x v="11"/>
    <x v="37"/>
    <x v="410"/>
    <n v="13"/>
    <n v="15"/>
    <n v="4229060"/>
    <x v="11"/>
    <x v="19"/>
    <n v="0.12"/>
    <n v="6"/>
    <n v="10"/>
    <n v="2841060"/>
    <x v="11"/>
    <n v="1"/>
    <n v="9.2592592592592587E-2"/>
    <x v="25"/>
    <n v="-0.33333333333333331"/>
    <n v="-1388000"/>
    <n v="-0.32820532222290533"/>
  </r>
  <r>
    <x v="11"/>
    <x v="37"/>
    <x v="411"/>
    <n v="6"/>
    <n v="8"/>
    <n v="1924750"/>
    <x v="11"/>
    <x v="19"/>
    <n v="6.4000000000000001E-2"/>
    <n v="5"/>
    <n v="5"/>
    <n v="1178120"/>
    <x v="11"/>
    <n v="1"/>
    <n v="4.6296296296296294E-2"/>
    <x v="12"/>
    <n v="-0.375"/>
    <n v="-746630"/>
    <n v="-0.38791011819716847"/>
  </r>
  <r>
    <x v="11"/>
    <x v="37"/>
    <x v="412"/>
    <n v="11"/>
    <n v="17"/>
    <n v="4582720"/>
    <x v="11"/>
    <x v="19"/>
    <n v="0.13600000000000001"/>
    <n v="9"/>
    <n v="13"/>
    <n v="3461740"/>
    <x v="11"/>
    <n v="1"/>
    <n v="0.12037037037037036"/>
    <x v="18"/>
    <n v="-0.23529411764705882"/>
    <n v="-1120980"/>
    <n v="-0.24461018783604496"/>
  </r>
  <r>
    <x v="11"/>
    <x v="37"/>
    <x v="413"/>
    <n v="18"/>
    <n v="22"/>
    <n v="4952260"/>
    <x v="11"/>
    <x v="19"/>
    <n v="0.17599999999999999"/>
    <n v="7"/>
    <n v="10"/>
    <n v="2288880"/>
    <x v="11"/>
    <n v="1"/>
    <n v="9.2592592592592587E-2"/>
    <x v="71"/>
    <n v="-0.54545454545454541"/>
    <n v="-2663380"/>
    <n v="-0.53781101961528677"/>
  </r>
  <r>
    <x v="11"/>
    <x v="37"/>
    <x v="414"/>
    <n v="3"/>
    <n v="4"/>
    <n v="1368940"/>
    <x v="11"/>
    <x v="19"/>
    <n v="3.2000000000000001E-2"/>
    <n v="1"/>
    <n v="1"/>
    <n v="383140"/>
    <x v="11"/>
    <n v="1"/>
    <n v="9.2592592592592587E-3"/>
    <x v="12"/>
    <n v="-0.75"/>
    <n v="-985800"/>
    <n v="-0.72011921632796183"/>
  </r>
  <r>
    <x v="11"/>
    <x v="37"/>
    <x v="415"/>
    <n v="2"/>
    <n v="3"/>
    <n v="965430"/>
    <x v="11"/>
    <x v="19"/>
    <n v="2.4E-2"/>
    <n v="0"/>
    <n v="0"/>
    <n v="0"/>
    <x v="11"/>
    <n v="1"/>
    <n v="0"/>
    <x v="12"/>
    <n v="-1"/>
    <n v="-965430"/>
    <n v="-1"/>
  </r>
  <r>
    <x v="11"/>
    <x v="37"/>
    <x v="416"/>
    <n v="5"/>
    <n v="5"/>
    <n v="1811770"/>
    <x v="11"/>
    <x v="19"/>
    <n v="0.04"/>
    <n v="5"/>
    <n v="5"/>
    <n v="1763390"/>
    <x v="11"/>
    <n v="1"/>
    <n v="4.6296296296296294E-2"/>
    <x v="16"/>
    <n v="0"/>
    <n v="-48380"/>
    <n v="-2.6703168724506975E-2"/>
  </r>
  <r>
    <x v="11"/>
    <x v="37"/>
    <x v="417"/>
    <n v="2"/>
    <n v="2"/>
    <n v="589080"/>
    <x v="11"/>
    <x v="19"/>
    <n v="1.6E-2"/>
    <n v="0"/>
    <n v="0"/>
    <n v="0"/>
    <x v="11"/>
    <n v="1"/>
    <n v="0"/>
    <x v="14"/>
    <n v="-1"/>
    <n v="-589080"/>
    <n v="-1"/>
  </r>
  <r>
    <x v="11"/>
    <x v="37"/>
    <x v="418"/>
    <n v="3"/>
    <n v="9"/>
    <n v="3689910"/>
    <x v="11"/>
    <x v="19"/>
    <n v="7.1999999999999995E-2"/>
    <n v="4"/>
    <n v="4"/>
    <n v="1680510"/>
    <x v="11"/>
    <n v="1"/>
    <n v="3.7037037037037035E-2"/>
    <x v="25"/>
    <n v="-0.55555555555555558"/>
    <n v="-2009400"/>
    <n v="-0.54456612762912915"/>
  </r>
  <r>
    <x v="11"/>
    <x v="37"/>
    <x v="419"/>
    <n v="6"/>
    <n v="8"/>
    <n v="2850440"/>
    <x v="11"/>
    <x v="19"/>
    <n v="6.4000000000000001E-2"/>
    <n v="5"/>
    <n v="9"/>
    <n v="3384820"/>
    <x v="11"/>
    <n v="1"/>
    <n v="8.3333333333333329E-2"/>
    <x v="13"/>
    <n v="0.125"/>
    <n v="534380"/>
    <n v="0.18747281121511064"/>
  </r>
  <r>
    <x v="11"/>
    <x v="37"/>
    <x v="420"/>
    <n v="10"/>
    <n v="13"/>
    <n v="5173060"/>
    <x v="11"/>
    <x v="19"/>
    <n v="0.104"/>
    <n v="23"/>
    <n v="35"/>
    <n v="14066130"/>
    <x v="11"/>
    <n v="1"/>
    <n v="0.32407407407407407"/>
    <x v="45"/>
    <n v="1.6923076923076923"/>
    <n v="8893070"/>
    <n v="1.7191120922626066"/>
  </r>
  <r>
    <x v="11"/>
    <x v="37"/>
    <x v="421"/>
    <n v="15"/>
    <n v="19"/>
    <n v="6149840"/>
    <x v="11"/>
    <x v="19"/>
    <n v="0.152"/>
    <n v="11"/>
    <n v="16"/>
    <n v="5478850"/>
    <x v="11"/>
    <n v="1"/>
    <n v="0.14814814814814814"/>
    <x v="12"/>
    <n v="-0.15789473684210525"/>
    <n v="-670990"/>
    <n v="-0.10910690359423986"/>
  </r>
  <r>
    <x v="12"/>
    <x v="38"/>
    <x v="422"/>
    <n v="1"/>
    <n v="1"/>
    <n v="228630"/>
    <x v="12"/>
    <x v="37"/>
    <n v="3.125E-2"/>
    <n v="1"/>
    <n v="1"/>
    <n v="217200"/>
    <x v="12"/>
    <n v="0.21621621621621623"/>
    <n v="6.25E-2"/>
    <x v="16"/>
    <n v="0"/>
    <n v="-11430"/>
    <n v="-4.9993439181209812E-2"/>
  </r>
  <r>
    <x v="12"/>
    <x v="38"/>
    <x v="423"/>
    <n v="1"/>
    <n v="1"/>
    <n v="320850"/>
    <x v="12"/>
    <x v="37"/>
    <n v="3.125E-2"/>
    <n v="0"/>
    <n v="0"/>
    <n v="0"/>
    <x v="12"/>
    <n v="0.21621621621621623"/>
    <n v="0"/>
    <x v="15"/>
    <n v="-1"/>
    <n v="-320850"/>
    <n v="-1"/>
  </r>
  <r>
    <x v="12"/>
    <x v="38"/>
    <x v="424"/>
    <n v="1"/>
    <n v="1"/>
    <n v="304800"/>
    <x v="12"/>
    <x v="37"/>
    <n v="3.125E-2"/>
    <n v="0"/>
    <n v="0"/>
    <n v="0"/>
    <x v="12"/>
    <n v="0.21621621621621623"/>
    <n v="0"/>
    <x v="15"/>
    <n v="-1"/>
    <n v="-304800"/>
    <n v="-1"/>
  </r>
  <r>
    <x v="12"/>
    <x v="38"/>
    <x v="425"/>
    <n v="8"/>
    <n v="8"/>
    <n v="2562250"/>
    <x v="12"/>
    <x v="37"/>
    <n v="0.25"/>
    <n v="7"/>
    <n v="7"/>
    <n v="2217100"/>
    <x v="12"/>
    <n v="0.21621621621621623"/>
    <n v="0.4375"/>
    <x v="15"/>
    <n v="-0.125"/>
    <n v="-345150"/>
    <n v="-0.13470582495853253"/>
  </r>
  <r>
    <x v="12"/>
    <x v="38"/>
    <x v="426"/>
    <n v="0"/>
    <n v="0"/>
    <n v="-32260"/>
    <x v="12"/>
    <x v="37"/>
    <n v="0"/>
    <n v="0"/>
    <n v="0"/>
    <n v="0"/>
    <x v="12"/>
    <n v="0.21621621621621623"/>
    <n v="0"/>
    <x v="16"/>
    <n v="0"/>
    <n v="32260"/>
    <n v="-1"/>
  </r>
  <r>
    <x v="12"/>
    <x v="38"/>
    <x v="427"/>
    <n v="1"/>
    <n v="1"/>
    <n v="285140"/>
    <x v="12"/>
    <x v="37"/>
    <n v="3.125E-2"/>
    <n v="0"/>
    <n v="0"/>
    <n v="0"/>
    <x v="12"/>
    <n v="0.21621621621621623"/>
    <n v="0"/>
    <x v="15"/>
    <n v="-1"/>
    <n v="-285140"/>
    <n v="-1"/>
  </r>
  <r>
    <x v="12"/>
    <x v="38"/>
    <x v="428"/>
    <n v="1"/>
    <n v="1"/>
    <n v="309430"/>
    <x v="12"/>
    <x v="37"/>
    <n v="3.125E-2"/>
    <n v="0"/>
    <n v="0"/>
    <n v="0"/>
    <x v="12"/>
    <n v="0.21621621621621623"/>
    <n v="0"/>
    <x v="15"/>
    <n v="-1"/>
    <n v="-309430"/>
    <n v="-1"/>
  </r>
  <r>
    <x v="12"/>
    <x v="38"/>
    <x v="429"/>
    <n v="3"/>
    <n v="3"/>
    <n v="889410"/>
    <x v="12"/>
    <x v="37"/>
    <n v="9.375E-2"/>
    <n v="2"/>
    <n v="2"/>
    <n v="618200"/>
    <x v="12"/>
    <n v="0.21621621621621623"/>
    <n v="0.125"/>
    <x v="15"/>
    <n v="-0.33333333333333331"/>
    <n v="-271210"/>
    <n v="-0.3049324833316468"/>
  </r>
  <r>
    <x v="12"/>
    <x v="38"/>
    <x v="430"/>
    <n v="2"/>
    <n v="2"/>
    <n v="799800"/>
    <x v="12"/>
    <x v="37"/>
    <n v="6.25E-2"/>
    <n v="2"/>
    <n v="2"/>
    <n v="824880"/>
    <x v="12"/>
    <n v="0.21621621621621623"/>
    <n v="0.125"/>
    <x v="16"/>
    <n v="0"/>
    <n v="25080"/>
    <n v="3.1357839459864964E-2"/>
  </r>
  <r>
    <x v="12"/>
    <x v="38"/>
    <x v="431"/>
    <n v="3"/>
    <n v="3"/>
    <n v="1165520"/>
    <x v="12"/>
    <x v="37"/>
    <n v="9.375E-2"/>
    <n v="0"/>
    <n v="0"/>
    <n v="0"/>
    <x v="12"/>
    <n v="0.21621621621621623"/>
    <n v="0"/>
    <x v="12"/>
    <n v="-1"/>
    <n v="-1165520"/>
    <n v="-1"/>
  </r>
  <r>
    <x v="12"/>
    <x v="38"/>
    <x v="432"/>
    <n v="11"/>
    <n v="11"/>
    <n v="4200990"/>
    <x v="12"/>
    <x v="37"/>
    <n v="0.34375"/>
    <n v="4"/>
    <n v="4"/>
    <n v="1563080"/>
    <x v="12"/>
    <n v="0.21621621621621623"/>
    <n v="0.25"/>
    <x v="53"/>
    <n v="-0.63636363636363635"/>
    <n v="-2637910"/>
    <n v="-0.62792579844274798"/>
  </r>
  <r>
    <x v="12"/>
    <x v="39"/>
    <x v="433"/>
    <n v="0"/>
    <n v="0"/>
    <n v="0"/>
    <x v="12"/>
    <x v="38"/>
    <n v="0"/>
    <n v="3"/>
    <n v="3"/>
    <n v="453780"/>
    <x v="12"/>
    <n v="4.0540540540540543E-2"/>
    <n v="1"/>
    <x v="11"/>
    <n v="1"/>
    <n v="453780"/>
    <n v="1"/>
  </r>
  <r>
    <x v="12"/>
    <x v="40"/>
    <x v="434"/>
    <n v="1"/>
    <n v="1"/>
    <n v="129000"/>
    <x v="12"/>
    <x v="39"/>
    <n v="1"/>
    <n v="1"/>
    <n v="1"/>
    <n v="125130"/>
    <x v="12"/>
    <n v="1.3513513513513514E-2"/>
    <n v="1"/>
    <x v="16"/>
    <n v="0"/>
    <n v="-3870"/>
    <n v="-0.03"/>
  </r>
  <r>
    <x v="12"/>
    <x v="41"/>
    <x v="435"/>
    <n v="0"/>
    <n v="0"/>
    <n v="0"/>
    <x v="12"/>
    <x v="39"/>
    <n v="0"/>
    <n v="1"/>
    <n v="1"/>
    <n v="628550"/>
    <x v="12"/>
    <n v="5.4054054054054057E-2"/>
    <n v="0.25"/>
    <x v="13"/>
    <n v="1"/>
    <n v="628550"/>
    <n v="1"/>
  </r>
  <r>
    <x v="12"/>
    <x v="41"/>
    <x v="436"/>
    <n v="0"/>
    <n v="0"/>
    <n v="0"/>
    <x v="12"/>
    <x v="39"/>
    <n v="0"/>
    <n v="3"/>
    <n v="3"/>
    <n v="2213820"/>
    <x v="12"/>
    <n v="5.4054054054054057E-2"/>
    <n v="0.75"/>
    <x v="11"/>
    <n v="1"/>
    <n v="2213820"/>
    <n v="1"/>
  </r>
  <r>
    <x v="12"/>
    <x v="41"/>
    <x v="437"/>
    <n v="1"/>
    <n v="1"/>
    <n v="807290"/>
    <x v="12"/>
    <x v="39"/>
    <n v="1"/>
    <n v="0"/>
    <n v="0"/>
    <n v="0"/>
    <x v="12"/>
    <n v="5.4054054054054057E-2"/>
    <n v="0"/>
    <x v="15"/>
    <n v="-1"/>
    <n v="-807290"/>
    <n v="-1"/>
  </r>
  <r>
    <x v="12"/>
    <x v="42"/>
    <x v="438"/>
    <n v="1"/>
    <n v="1"/>
    <n v="170300"/>
    <x v="12"/>
    <x v="39"/>
    <n v="1"/>
    <n v="0"/>
    <n v="0"/>
    <n v="0"/>
    <x v="12"/>
    <n v="0"/>
    <n v="0"/>
    <x v="15"/>
    <n v="-1"/>
    <n v="-170300"/>
    <n v="-1"/>
  </r>
  <r>
    <x v="12"/>
    <x v="43"/>
    <x v="439"/>
    <n v="2"/>
    <n v="3"/>
    <n v="385800"/>
    <x v="12"/>
    <x v="40"/>
    <n v="0.33333333333333331"/>
    <n v="3"/>
    <n v="3"/>
    <n v="396390"/>
    <x v="12"/>
    <n v="0.17567567567567569"/>
    <n v="0.23076923076923078"/>
    <x v="16"/>
    <n v="0"/>
    <n v="10590"/>
    <n v="2.744945567651633E-2"/>
  </r>
  <r>
    <x v="12"/>
    <x v="43"/>
    <x v="440"/>
    <n v="1"/>
    <n v="2"/>
    <n v="261570"/>
    <x v="12"/>
    <x v="40"/>
    <n v="0.22222222222222221"/>
    <n v="2"/>
    <n v="3"/>
    <n v="389650"/>
    <x v="12"/>
    <n v="0.17567567567567569"/>
    <n v="0.23076923076923078"/>
    <x v="13"/>
    <n v="0.5"/>
    <n v="128080"/>
    <n v="0.48965859999235384"/>
  </r>
  <r>
    <x v="12"/>
    <x v="43"/>
    <x v="441"/>
    <n v="1"/>
    <n v="3"/>
    <n v="404490"/>
    <x v="12"/>
    <x v="40"/>
    <n v="0.33333333333333331"/>
    <n v="1"/>
    <n v="1"/>
    <n v="130780"/>
    <x v="12"/>
    <n v="0.17567567567567569"/>
    <n v="7.6923076923076927E-2"/>
    <x v="14"/>
    <n v="-0.66666666666666663"/>
    <n v="-273710"/>
    <n v="-0.67667927513659176"/>
  </r>
  <r>
    <x v="12"/>
    <x v="43"/>
    <x v="442"/>
    <n v="0"/>
    <n v="0"/>
    <n v="-1940"/>
    <x v="12"/>
    <x v="40"/>
    <n v="0"/>
    <n v="2"/>
    <n v="3"/>
    <n v="406450"/>
    <x v="12"/>
    <n v="0.17567567567567569"/>
    <n v="0.23076923076923078"/>
    <x v="11"/>
    <n v="1"/>
    <n v="408390"/>
    <n v="-210.51030927835052"/>
  </r>
  <r>
    <x v="12"/>
    <x v="43"/>
    <x v="443"/>
    <n v="0"/>
    <n v="0"/>
    <n v="0"/>
    <x v="12"/>
    <x v="40"/>
    <n v="0"/>
    <n v="0"/>
    <n v="0"/>
    <n v="-2870"/>
    <x v="12"/>
    <n v="0.17567567567567569"/>
    <n v="0"/>
    <x v="16"/>
    <n v="0"/>
    <n v="-2870"/>
    <n v="0"/>
  </r>
  <r>
    <x v="12"/>
    <x v="43"/>
    <x v="444"/>
    <n v="0"/>
    <n v="0"/>
    <n v="0"/>
    <x v="12"/>
    <x v="40"/>
    <n v="0"/>
    <n v="1"/>
    <n v="1"/>
    <n v="135480"/>
    <x v="12"/>
    <n v="0.17567567567567569"/>
    <n v="7.6923076923076927E-2"/>
    <x v="13"/>
    <n v="1"/>
    <n v="135480"/>
    <n v="1"/>
  </r>
  <r>
    <x v="12"/>
    <x v="43"/>
    <x v="445"/>
    <n v="1"/>
    <n v="1"/>
    <n v="128720"/>
    <x v="12"/>
    <x v="40"/>
    <n v="0.1111111111111111"/>
    <n v="2"/>
    <n v="2"/>
    <n v="261560"/>
    <x v="12"/>
    <n v="0.17567567567567569"/>
    <n v="0.15384615384615385"/>
    <x v="13"/>
    <n v="1"/>
    <n v="132840"/>
    <n v="1.0320074580484773"/>
  </r>
  <r>
    <x v="12"/>
    <x v="44"/>
    <x v="446"/>
    <n v="6"/>
    <n v="6"/>
    <n v="1292620"/>
    <x v="12"/>
    <x v="41"/>
    <n v="0.46153846153846156"/>
    <n v="8"/>
    <n v="9"/>
    <n v="1994910"/>
    <x v="12"/>
    <n v="0.12162162162162163"/>
    <n v="1"/>
    <x v="11"/>
    <n v="0.5"/>
    <n v="702290"/>
    <n v="0.54330739118998628"/>
  </r>
  <r>
    <x v="12"/>
    <x v="44"/>
    <x v="447"/>
    <n v="5"/>
    <n v="7"/>
    <n v="1216350"/>
    <x v="12"/>
    <x v="41"/>
    <n v="0.53846153846153844"/>
    <n v="2"/>
    <n v="0"/>
    <n v="-7960"/>
    <x v="12"/>
    <n v="0.12162162162162163"/>
    <n v="0"/>
    <x v="53"/>
    <n v="-1"/>
    <n v="-1224310"/>
    <n v="-1.0065441690302956"/>
  </r>
  <r>
    <x v="12"/>
    <x v="45"/>
    <x v="448"/>
    <n v="3"/>
    <n v="3"/>
    <n v="1362300"/>
    <x v="12"/>
    <x v="42"/>
    <n v="0.16666666666666666"/>
    <n v="3"/>
    <n v="3"/>
    <n v="1330070"/>
    <x v="12"/>
    <n v="0.1891891891891892"/>
    <n v="0.21428571428571427"/>
    <x v="16"/>
    <n v="0"/>
    <n v="-32230"/>
    <n v="-2.3658518681641341E-2"/>
  </r>
  <r>
    <x v="12"/>
    <x v="45"/>
    <x v="449"/>
    <n v="2"/>
    <n v="2"/>
    <n v="981310"/>
    <x v="12"/>
    <x v="42"/>
    <n v="0.1111111111111111"/>
    <n v="4"/>
    <n v="4"/>
    <n v="2166620"/>
    <x v="12"/>
    <n v="0.1891891891891892"/>
    <n v="0.2857142857142857"/>
    <x v="17"/>
    <n v="1"/>
    <n v="1185310"/>
    <n v="1.2078853777093885"/>
  </r>
  <r>
    <x v="12"/>
    <x v="45"/>
    <x v="450"/>
    <n v="1"/>
    <n v="1"/>
    <n v="510920"/>
    <x v="12"/>
    <x v="42"/>
    <n v="5.5555555555555552E-2"/>
    <n v="1"/>
    <n v="1"/>
    <n v="542980"/>
    <x v="12"/>
    <n v="0.1891891891891892"/>
    <n v="7.1428571428571425E-2"/>
    <x v="16"/>
    <n v="0"/>
    <n v="32060"/>
    <n v="6.2749549831676188E-2"/>
  </r>
  <r>
    <x v="12"/>
    <x v="45"/>
    <x v="451"/>
    <n v="6"/>
    <n v="6"/>
    <n v="3600780"/>
    <x v="12"/>
    <x v="42"/>
    <n v="0.33333333333333331"/>
    <n v="3"/>
    <n v="3"/>
    <n v="1796060"/>
    <x v="12"/>
    <n v="0.1891891891891892"/>
    <n v="0.21428571428571427"/>
    <x v="12"/>
    <n v="-0.5"/>
    <n v="-1804720"/>
    <n v="-0.50120251723237741"/>
  </r>
  <r>
    <x v="12"/>
    <x v="45"/>
    <x v="452"/>
    <n v="1"/>
    <n v="1"/>
    <n v="529720"/>
    <x v="12"/>
    <x v="42"/>
    <n v="5.5555555555555552E-2"/>
    <n v="0"/>
    <n v="0"/>
    <n v="0"/>
    <x v="12"/>
    <n v="0.1891891891891892"/>
    <n v="0"/>
    <x v="15"/>
    <n v="-1"/>
    <n v="-529720"/>
    <n v="-1"/>
  </r>
  <r>
    <x v="12"/>
    <x v="45"/>
    <x v="453"/>
    <n v="3"/>
    <n v="3"/>
    <n v="1589170"/>
    <x v="12"/>
    <x v="42"/>
    <n v="0.16666666666666666"/>
    <n v="1"/>
    <n v="1"/>
    <n v="503260"/>
    <x v="12"/>
    <n v="0.1891891891891892"/>
    <n v="7.1428571428571425E-2"/>
    <x v="14"/>
    <n v="-0.66666666666666663"/>
    <n v="-1085910"/>
    <n v="-0.68331896524600888"/>
  </r>
  <r>
    <x v="12"/>
    <x v="45"/>
    <x v="454"/>
    <n v="1"/>
    <n v="1"/>
    <n v="604990"/>
    <x v="12"/>
    <x v="42"/>
    <n v="5.5555555555555552E-2"/>
    <n v="0"/>
    <n v="0"/>
    <n v="0"/>
    <x v="12"/>
    <n v="0.1891891891891892"/>
    <n v="0"/>
    <x v="15"/>
    <n v="-1"/>
    <n v="-604990"/>
    <n v="-1"/>
  </r>
  <r>
    <x v="12"/>
    <x v="45"/>
    <x v="455"/>
    <n v="1"/>
    <n v="1"/>
    <n v="590880"/>
    <x v="12"/>
    <x v="42"/>
    <n v="5.5555555555555552E-2"/>
    <n v="2"/>
    <n v="2"/>
    <n v="1172360"/>
    <x v="12"/>
    <n v="0.1891891891891892"/>
    <n v="0.14285714285714285"/>
    <x v="13"/>
    <n v="1"/>
    <n v="581480"/>
    <n v="0.98409152450582182"/>
  </r>
  <r>
    <x v="12"/>
    <x v="46"/>
    <x v="456"/>
    <n v="2"/>
    <n v="2"/>
    <n v="441490"/>
    <x v="12"/>
    <x v="43"/>
    <n v="0.16666666666666666"/>
    <n v="1"/>
    <n v="1"/>
    <n v="240550"/>
    <x v="12"/>
    <n v="4.0540540540540543E-2"/>
    <n v="0.33333333333333331"/>
    <x v="15"/>
    <n v="-0.5"/>
    <n v="-200940"/>
    <n v="-0.45514054678475163"/>
  </r>
  <r>
    <x v="12"/>
    <x v="46"/>
    <x v="457"/>
    <n v="10"/>
    <n v="10"/>
    <n v="2974160"/>
    <x v="12"/>
    <x v="43"/>
    <n v="0.83333333333333337"/>
    <n v="2"/>
    <n v="2"/>
    <n v="619100"/>
    <x v="12"/>
    <n v="4.0540540540540543E-2"/>
    <n v="0.66666666666666663"/>
    <x v="4"/>
    <n v="-0.8"/>
    <n v="-2355060"/>
    <n v="-0.79184038518438815"/>
  </r>
  <r>
    <x v="12"/>
    <x v="47"/>
    <x v="458"/>
    <n v="4"/>
    <n v="4"/>
    <n v="374260"/>
    <x v="12"/>
    <x v="44"/>
    <n v="0.26666666666666666"/>
    <n v="3"/>
    <n v="4"/>
    <n v="366950"/>
    <x v="12"/>
    <n v="0.14864864864864866"/>
    <n v="0.36363636363636365"/>
    <x v="16"/>
    <n v="0"/>
    <n v="-7310"/>
    <n v="-1.9531876235771923E-2"/>
  </r>
  <r>
    <x v="12"/>
    <x v="47"/>
    <x v="459"/>
    <n v="11"/>
    <n v="11"/>
    <n v="1040170"/>
    <x v="12"/>
    <x v="44"/>
    <n v="0.73333333333333328"/>
    <n v="7"/>
    <n v="7"/>
    <n v="651320"/>
    <x v="12"/>
    <n v="0.14864864864864866"/>
    <n v="0.63636363636363635"/>
    <x v="18"/>
    <n v="-0.36363636363636365"/>
    <n v="-388850"/>
    <n v="-0.37383312343174674"/>
  </r>
  <r>
    <x v="13"/>
    <x v="48"/>
    <x v="460"/>
    <n v="2"/>
    <n v="4"/>
    <n v="426240"/>
    <x v="13"/>
    <x v="45"/>
    <n v="0.26666666666666666"/>
    <n v="0"/>
    <n v="0"/>
    <n v="0"/>
    <x v="13"/>
    <n v="0"/>
    <n v="0"/>
    <x v="18"/>
    <n v="-1"/>
    <n v="-426240"/>
    <n v="-1"/>
  </r>
  <r>
    <x v="13"/>
    <x v="48"/>
    <x v="461"/>
    <n v="1"/>
    <n v="1"/>
    <n v="175000"/>
    <x v="13"/>
    <x v="45"/>
    <n v="6.6666666666666666E-2"/>
    <n v="0"/>
    <n v="0"/>
    <n v="0"/>
    <x v="13"/>
    <n v="0"/>
    <n v="0"/>
    <x v="15"/>
    <n v="-1"/>
    <n v="-175000"/>
    <n v="-1"/>
  </r>
  <r>
    <x v="13"/>
    <x v="48"/>
    <x v="462"/>
    <n v="1"/>
    <n v="1"/>
    <n v="125000"/>
    <x v="13"/>
    <x v="45"/>
    <n v="6.6666666666666666E-2"/>
    <n v="0"/>
    <n v="0"/>
    <n v="0"/>
    <x v="13"/>
    <n v="0"/>
    <n v="0"/>
    <x v="15"/>
    <n v="-1"/>
    <n v="-125000"/>
    <n v="-1"/>
  </r>
  <r>
    <x v="13"/>
    <x v="48"/>
    <x v="463"/>
    <n v="3"/>
    <n v="9"/>
    <n v="829390"/>
    <x v="13"/>
    <x v="45"/>
    <n v="0.6"/>
    <n v="0"/>
    <n v="0"/>
    <n v="0"/>
    <x v="13"/>
    <n v="0"/>
    <n v="0"/>
    <x v="52"/>
    <n v="-1"/>
    <n v="-829390"/>
    <n v="-1"/>
  </r>
  <r>
    <x v="13"/>
    <x v="34"/>
    <x v="464"/>
    <n v="8"/>
    <n v="8"/>
    <n v="570270"/>
    <x v="13"/>
    <x v="46"/>
    <n v="0.4"/>
    <n v="8"/>
    <n v="9"/>
    <n v="650380"/>
    <x v="13"/>
    <n v="0.14473684210526316"/>
    <n v="0.40909090909090912"/>
    <x v="13"/>
    <n v="0.125"/>
    <n v="80110"/>
    <n v="0.14047731776176198"/>
  </r>
  <r>
    <x v="13"/>
    <x v="34"/>
    <x v="465"/>
    <n v="10"/>
    <n v="11"/>
    <n v="961400"/>
    <x v="13"/>
    <x v="46"/>
    <n v="0.55000000000000004"/>
    <n v="4"/>
    <n v="7"/>
    <n v="596970"/>
    <x v="13"/>
    <n v="0.14473684210526316"/>
    <n v="0.31818181818181818"/>
    <x v="18"/>
    <n v="-0.36363636363636365"/>
    <n v="-364430"/>
    <n v="-0.37906178489702519"/>
  </r>
  <r>
    <x v="13"/>
    <x v="34"/>
    <x v="466"/>
    <n v="2"/>
    <n v="2"/>
    <n v="203790"/>
    <x v="13"/>
    <x v="46"/>
    <n v="0.1"/>
    <n v="4"/>
    <n v="4"/>
    <n v="403990"/>
    <x v="13"/>
    <n v="0.14473684210526316"/>
    <n v="0.18181818181818182"/>
    <x v="17"/>
    <n v="1"/>
    <n v="200200"/>
    <n v="0.98238382648805145"/>
  </r>
  <r>
    <x v="13"/>
    <x v="34"/>
    <x v="467"/>
    <n v="-1"/>
    <n v="-1"/>
    <n v="-129000"/>
    <x v="13"/>
    <x v="46"/>
    <n v="-0.05"/>
    <n v="2"/>
    <n v="2"/>
    <n v="246500"/>
    <x v="13"/>
    <n v="0.14473684210526316"/>
    <n v="9.0909090909090912E-2"/>
    <x v="11"/>
    <n v="-3"/>
    <n v="375500"/>
    <n v="-2.9108527131782944"/>
  </r>
  <r>
    <x v="13"/>
    <x v="49"/>
    <x v="468"/>
    <n v="2"/>
    <n v="2"/>
    <n v="240470"/>
    <x v="13"/>
    <x v="47"/>
    <n v="2.247191011235955E-2"/>
    <n v="1"/>
    <n v="1"/>
    <n v="120180"/>
    <x v="13"/>
    <n v="0.32894736842105265"/>
    <n v="0.02"/>
    <x v="15"/>
    <n v="-0.5"/>
    <n v="-120290"/>
    <n v="-0.5002287187590968"/>
  </r>
  <r>
    <x v="13"/>
    <x v="49"/>
    <x v="469"/>
    <n v="1"/>
    <n v="1"/>
    <n v="130850"/>
    <x v="13"/>
    <x v="47"/>
    <n v="1.1235955056179775E-2"/>
    <n v="1"/>
    <n v="1"/>
    <n v="121150"/>
    <x v="13"/>
    <n v="0.32894736842105265"/>
    <n v="0.02"/>
    <x v="16"/>
    <n v="0"/>
    <n v="-9700"/>
    <n v="-7.4130683989300727E-2"/>
  </r>
  <r>
    <x v="13"/>
    <x v="49"/>
    <x v="470"/>
    <n v="5"/>
    <n v="6"/>
    <n v="823340"/>
    <x v="13"/>
    <x v="47"/>
    <n v="6.741573033707865E-2"/>
    <n v="3"/>
    <n v="4"/>
    <n v="550280"/>
    <x v="13"/>
    <n v="0.32894736842105265"/>
    <n v="0.08"/>
    <x v="14"/>
    <n v="-0.33333333333333331"/>
    <n v="-273060"/>
    <n v="-0.33164913644423932"/>
  </r>
  <r>
    <x v="13"/>
    <x v="49"/>
    <x v="471"/>
    <n v="6"/>
    <n v="7"/>
    <n v="993100"/>
    <x v="13"/>
    <x v="47"/>
    <n v="7.8651685393258425E-2"/>
    <n v="3"/>
    <n v="3"/>
    <n v="433430"/>
    <x v="13"/>
    <n v="0.32894736842105265"/>
    <n v="0.06"/>
    <x v="18"/>
    <n v="-0.5714285714285714"/>
    <n v="-559670"/>
    <n v="-0.56355855402275701"/>
  </r>
  <r>
    <x v="13"/>
    <x v="49"/>
    <x v="472"/>
    <n v="0"/>
    <n v="0"/>
    <n v="0"/>
    <x v="13"/>
    <x v="47"/>
    <n v="0"/>
    <n v="0"/>
    <n v="0"/>
    <n v="-3000"/>
    <x v="13"/>
    <n v="0.32894736842105265"/>
    <n v="0"/>
    <x v="16"/>
    <n v="0"/>
    <n v="-3000"/>
    <n v="0"/>
  </r>
  <r>
    <x v="13"/>
    <x v="49"/>
    <x v="473"/>
    <n v="1"/>
    <n v="1"/>
    <n v="90620"/>
    <x v="13"/>
    <x v="47"/>
    <n v="1.1235955056179775E-2"/>
    <n v="2"/>
    <n v="3"/>
    <n v="311340"/>
    <x v="13"/>
    <n v="0.32894736842105265"/>
    <n v="0.06"/>
    <x v="17"/>
    <n v="2"/>
    <n v="220720"/>
    <n v="2.4356654160229532"/>
  </r>
  <r>
    <x v="13"/>
    <x v="49"/>
    <x v="474"/>
    <n v="0"/>
    <n v="0"/>
    <n v="0"/>
    <x v="13"/>
    <x v="47"/>
    <n v="0"/>
    <n v="2"/>
    <n v="4"/>
    <n v="591990"/>
    <x v="13"/>
    <n v="0.32894736842105265"/>
    <n v="0.08"/>
    <x v="20"/>
    <n v="1"/>
    <n v="591990"/>
    <n v="1"/>
  </r>
  <r>
    <x v="13"/>
    <x v="49"/>
    <x v="475"/>
    <n v="4"/>
    <n v="7"/>
    <n v="1366400"/>
    <x v="13"/>
    <x v="47"/>
    <n v="7.8651685393258425E-2"/>
    <n v="1"/>
    <n v="1"/>
    <n v="179640"/>
    <x v="13"/>
    <n v="0.32894736842105265"/>
    <n v="0.02"/>
    <x v="26"/>
    <n v="-0.8571428571428571"/>
    <n v="-1186760"/>
    <n v="-0.8685304449648712"/>
  </r>
  <r>
    <x v="13"/>
    <x v="49"/>
    <x v="476"/>
    <n v="9"/>
    <n v="27"/>
    <n v="64200"/>
    <x v="13"/>
    <x v="47"/>
    <n v="0.30337078651685395"/>
    <n v="6"/>
    <n v="12"/>
    <n v="28200"/>
    <x v="13"/>
    <n v="0.32894736842105265"/>
    <n v="0.24"/>
    <x v="32"/>
    <n v="-0.55555555555555558"/>
    <n v="-36000"/>
    <n v="-0.56074766355140182"/>
  </r>
  <r>
    <x v="13"/>
    <x v="49"/>
    <x v="477"/>
    <n v="0"/>
    <n v="0"/>
    <n v="0"/>
    <x v="13"/>
    <x v="47"/>
    <n v="0"/>
    <n v="3"/>
    <n v="4"/>
    <n v="44180"/>
    <x v="13"/>
    <n v="0.32894736842105265"/>
    <n v="0.08"/>
    <x v="20"/>
    <n v="1"/>
    <n v="44180"/>
    <n v="1"/>
  </r>
  <r>
    <x v="13"/>
    <x v="49"/>
    <x v="478"/>
    <n v="0"/>
    <n v="0"/>
    <n v="0"/>
    <x v="13"/>
    <x v="47"/>
    <n v="0"/>
    <n v="2"/>
    <n v="6"/>
    <n v="14250"/>
    <x v="13"/>
    <n v="0.32894736842105265"/>
    <n v="0.12"/>
    <x v="24"/>
    <n v="1"/>
    <n v="14250"/>
    <n v="1"/>
  </r>
  <r>
    <x v="13"/>
    <x v="49"/>
    <x v="479"/>
    <n v="13"/>
    <n v="38"/>
    <n v="684950"/>
    <x v="13"/>
    <x v="47"/>
    <n v="0.42696629213483145"/>
    <n v="4"/>
    <n v="11"/>
    <n v="190410"/>
    <x v="13"/>
    <n v="0.32894736842105265"/>
    <n v="0.22"/>
    <x v="72"/>
    <n v="-0.71052631578947367"/>
    <n v="-494540"/>
    <n v="-0.72200890575954446"/>
  </r>
  <r>
    <x v="13"/>
    <x v="50"/>
    <x v="480"/>
    <n v="1"/>
    <n v="1"/>
    <n v="156000"/>
    <x v="13"/>
    <x v="48"/>
    <n v="0.2"/>
    <n v="1"/>
    <n v="1"/>
    <n v="151320"/>
    <x v="13"/>
    <n v="3.9473684210526314E-2"/>
    <n v="0.16666666666666666"/>
    <x v="16"/>
    <n v="0"/>
    <n v="-4680"/>
    <n v="-0.03"/>
  </r>
  <r>
    <x v="13"/>
    <x v="50"/>
    <x v="481"/>
    <n v="3"/>
    <n v="3"/>
    <n v="443960"/>
    <x v="13"/>
    <x v="48"/>
    <n v="0.6"/>
    <n v="2"/>
    <n v="2"/>
    <n v="301310"/>
    <x v="13"/>
    <n v="3.9473684210526314E-2"/>
    <n v="0.33333333333333331"/>
    <x v="15"/>
    <n v="-0.33333333333333331"/>
    <n v="-142650"/>
    <n v="-0.32131273087665557"/>
  </r>
  <r>
    <x v="13"/>
    <x v="50"/>
    <x v="482"/>
    <n v="0"/>
    <n v="0"/>
    <n v="0"/>
    <x v="13"/>
    <x v="48"/>
    <n v="0"/>
    <n v="1"/>
    <n v="1"/>
    <n v="166000"/>
    <x v="13"/>
    <n v="3.9473684210526314E-2"/>
    <n v="0.16666666666666666"/>
    <x v="13"/>
    <n v="1"/>
    <n v="166000"/>
    <n v="1"/>
  </r>
  <r>
    <x v="13"/>
    <x v="50"/>
    <x v="483"/>
    <n v="1"/>
    <n v="1"/>
    <n v="166840"/>
    <x v="13"/>
    <x v="48"/>
    <n v="0.2"/>
    <n v="2"/>
    <n v="2"/>
    <n v="328670"/>
    <x v="13"/>
    <n v="3.9473684210526314E-2"/>
    <n v="0.33333333333333331"/>
    <x v="13"/>
    <n v="1"/>
    <n v="161830"/>
    <n v="0.96997122992088225"/>
  </r>
  <r>
    <x v="13"/>
    <x v="51"/>
    <x v="484"/>
    <n v="20"/>
    <n v="22"/>
    <n v="3446800"/>
    <x v="13"/>
    <x v="49"/>
    <n v="0.44"/>
    <n v="22"/>
    <n v="25"/>
    <n v="3890390"/>
    <x v="13"/>
    <n v="0.48684210526315791"/>
    <n v="0.33783783783783783"/>
    <x v="11"/>
    <n v="0.13636363636363635"/>
    <n v="443590"/>
    <n v="0.1286961819658814"/>
  </r>
  <r>
    <x v="13"/>
    <x v="51"/>
    <x v="485"/>
    <n v="16"/>
    <n v="19"/>
    <n v="3573330"/>
    <x v="13"/>
    <x v="49"/>
    <n v="0.38"/>
    <n v="16"/>
    <n v="16"/>
    <n v="2904270"/>
    <x v="13"/>
    <n v="0.48684210526315791"/>
    <n v="0.21621621621621623"/>
    <x v="12"/>
    <n v="-0.15789473684210525"/>
    <n v="-669060"/>
    <n v="-0.18723711495999529"/>
  </r>
  <r>
    <x v="13"/>
    <x v="51"/>
    <x v="486"/>
    <n v="1"/>
    <n v="1"/>
    <n v="222780"/>
    <x v="13"/>
    <x v="49"/>
    <n v="0.02"/>
    <n v="13"/>
    <n v="13"/>
    <n v="3094810"/>
    <x v="13"/>
    <n v="0.48684210526315791"/>
    <n v="0.17567567567567569"/>
    <x v="27"/>
    <n v="12"/>
    <n v="2872030"/>
    <n v="12.891776640632013"/>
  </r>
  <r>
    <x v="13"/>
    <x v="51"/>
    <x v="487"/>
    <n v="9"/>
    <n v="8"/>
    <n v="1080360"/>
    <x v="13"/>
    <x v="49"/>
    <n v="0.16"/>
    <n v="11"/>
    <n v="20"/>
    <n v="2768440"/>
    <x v="13"/>
    <n v="0.48684210526315791"/>
    <n v="0.27027027027027029"/>
    <x v="27"/>
    <n v="1.5"/>
    <n v="1688080"/>
    <n v="1.562516198304269"/>
  </r>
  <r>
    <x v="14"/>
    <x v="52"/>
    <x v="488"/>
    <n v="4"/>
    <n v="5"/>
    <n v="1205950"/>
    <x v="14"/>
    <x v="19"/>
    <n v="1"/>
    <n v="9"/>
    <n v="9"/>
    <n v="2243660"/>
    <x v="14"/>
    <n v="1"/>
    <n v="1"/>
    <x v="20"/>
    <n v="0.8"/>
    <n v="1037710"/>
    <n v="0.86049172851279077"/>
  </r>
  <r>
    <x v="15"/>
    <x v="53"/>
    <x v="489"/>
    <n v="1"/>
    <n v="2"/>
    <n v="213390"/>
    <x v="15"/>
    <x v="19"/>
    <n v="0.2857142857142857"/>
    <n v="0"/>
    <n v="0"/>
    <n v="0"/>
    <x v="15"/>
    <n v="1"/>
    <n v="0"/>
    <x v="14"/>
    <n v="-1"/>
    <n v="-213390"/>
    <n v="-1"/>
  </r>
  <r>
    <x v="15"/>
    <x v="53"/>
    <x v="490"/>
    <n v="1"/>
    <n v="1"/>
    <n v="106690"/>
    <x v="15"/>
    <x v="19"/>
    <n v="0.14285714285714285"/>
    <n v="0"/>
    <n v="0"/>
    <n v="0"/>
    <x v="15"/>
    <n v="1"/>
    <n v="0"/>
    <x v="15"/>
    <n v="-1"/>
    <n v="-106690"/>
    <n v="-1"/>
  </r>
  <r>
    <x v="15"/>
    <x v="53"/>
    <x v="491"/>
    <n v="0"/>
    <n v="0"/>
    <n v="0"/>
    <x v="15"/>
    <x v="19"/>
    <n v="0"/>
    <n v="3"/>
    <n v="5"/>
    <n v="526510"/>
    <x v="15"/>
    <n v="1"/>
    <n v="0.45454545454545453"/>
    <x v="47"/>
    <n v="1"/>
    <n v="526510"/>
    <n v="1"/>
  </r>
  <r>
    <x v="15"/>
    <x v="53"/>
    <x v="492"/>
    <n v="1"/>
    <n v="1"/>
    <n v="106690"/>
    <x v="15"/>
    <x v="19"/>
    <n v="0.14285714285714285"/>
    <n v="0"/>
    <n v="0"/>
    <n v="0"/>
    <x v="15"/>
    <n v="1"/>
    <n v="0"/>
    <x v="15"/>
    <n v="-1"/>
    <n v="-106690"/>
    <n v="-1"/>
  </r>
  <r>
    <x v="15"/>
    <x v="53"/>
    <x v="493"/>
    <n v="0"/>
    <n v="0"/>
    <n v="0"/>
    <x v="15"/>
    <x v="19"/>
    <n v="0"/>
    <n v="1"/>
    <n v="1"/>
    <n v="708630"/>
    <x v="15"/>
    <n v="1"/>
    <n v="9.0909090909090912E-2"/>
    <x v="13"/>
    <n v="1"/>
    <n v="708630"/>
    <n v="1"/>
  </r>
  <r>
    <x v="15"/>
    <x v="53"/>
    <x v="494"/>
    <n v="1"/>
    <n v="1"/>
    <n v="745930"/>
    <x v="15"/>
    <x v="19"/>
    <n v="0.14285714285714285"/>
    <n v="2"/>
    <n v="2"/>
    <n v="1469490"/>
    <x v="15"/>
    <n v="1"/>
    <n v="0.18181818181818182"/>
    <x v="13"/>
    <n v="1"/>
    <n v="723560"/>
    <n v="0.97001059080610785"/>
  </r>
  <r>
    <x v="15"/>
    <x v="53"/>
    <x v="495"/>
    <n v="1"/>
    <n v="1"/>
    <n v="812960"/>
    <x v="15"/>
    <x v="19"/>
    <n v="0.14285714285714285"/>
    <n v="2"/>
    <n v="2"/>
    <n v="1706060"/>
    <x v="15"/>
    <n v="1"/>
    <n v="0.18181818181818182"/>
    <x v="13"/>
    <n v="1"/>
    <n v="893100"/>
    <n v="1.0985780358197206"/>
  </r>
  <r>
    <x v="15"/>
    <x v="53"/>
    <x v="496"/>
    <n v="1"/>
    <n v="1"/>
    <n v="121370"/>
    <x v="15"/>
    <x v="19"/>
    <n v="0.14285714285714285"/>
    <n v="0"/>
    <n v="0"/>
    <n v="0"/>
    <x v="15"/>
    <n v="1"/>
    <n v="0"/>
    <x v="15"/>
    <n v="-1"/>
    <n v="-121370"/>
    <n v="-1"/>
  </r>
  <r>
    <x v="15"/>
    <x v="53"/>
    <x v="497"/>
    <n v="0"/>
    <n v="0"/>
    <n v="0"/>
    <x v="15"/>
    <x v="19"/>
    <n v="0"/>
    <n v="1"/>
    <n v="1"/>
    <n v="118870"/>
    <x v="15"/>
    <n v="1"/>
    <n v="9.0909090909090912E-2"/>
    <x v="13"/>
    <n v="1"/>
    <n v="118870"/>
    <n v="1"/>
  </r>
  <r>
    <x v="16"/>
    <x v="54"/>
    <x v="498"/>
    <n v="10003"/>
    <n v="11772"/>
    <m/>
    <x v="16"/>
    <x v="50"/>
    <m/>
    <n v="7837"/>
    <n v="8915"/>
    <m/>
    <x v="16"/>
    <m/>
    <m/>
    <x v="73"/>
    <m/>
    <m/>
    <m/>
  </r>
  <r>
    <x v="16"/>
    <x v="54"/>
    <x v="498"/>
    <m/>
    <m/>
    <m/>
    <x v="16"/>
    <x v="50"/>
    <m/>
    <m/>
    <m/>
    <m/>
    <x v="16"/>
    <m/>
    <m/>
    <x v="7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217A7B-3D83-4947-9F55-74D1FDABF640}" name="피벗 테이블3" cacheId="2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3:D9" firstHeaderRow="0" firstDataRow="1" firstDataCol="1"/>
  <pivotFields count="19">
    <pivotField axis="axisRow" showAll="0">
      <items count="18">
        <item h="1" x="0"/>
        <item h="1" x="15"/>
        <item h="1" x="1"/>
        <item h="1" x="2"/>
        <item h="1" x="3"/>
        <item h="1" x="4"/>
        <item h="1" x="5"/>
        <item h="1" x="6"/>
        <item h="1" x="7"/>
        <item h="1" x="8"/>
        <item x="9"/>
        <item h="1" x="10"/>
        <item h="1" x="11"/>
        <item h="1" x="12"/>
        <item h="1" x="13"/>
        <item h="1" x="14"/>
        <item h="1" x="16"/>
        <item t="default"/>
      </items>
    </pivotField>
    <pivotField axis="axisRow" showAll="0">
      <items count="56">
        <item x="15"/>
        <item x="16"/>
        <item x="38"/>
        <item x="17"/>
        <item x="39"/>
        <item x="18"/>
        <item x="29"/>
        <item x="53"/>
        <item x="6"/>
        <item x="19"/>
        <item x="0"/>
        <item x="3"/>
        <item x="22"/>
        <item x="40"/>
        <item x="4"/>
        <item x="48"/>
        <item x="23"/>
        <item sd="0" x="30"/>
        <item x="24"/>
        <item x="7"/>
        <item sd="0" x="31"/>
        <item sd="0" x="32"/>
        <item x="34"/>
        <item x="35"/>
        <item x="13"/>
        <item x="25"/>
        <item x="20"/>
        <item x="41"/>
        <item x="1"/>
        <item x="42"/>
        <item x="8"/>
        <item x="43"/>
        <item x="26"/>
        <item x="5"/>
        <item x="9"/>
        <item x="44"/>
        <item x="21"/>
        <item x="45"/>
        <item x="2"/>
        <item x="36"/>
        <item x="37"/>
        <item x="27"/>
        <item sd="0" x="33"/>
        <item x="46"/>
        <item x="47"/>
        <item x="49"/>
        <item x="50"/>
        <item x="51"/>
        <item x="10"/>
        <item x="11"/>
        <item x="12"/>
        <item x="28"/>
        <item x="52"/>
        <item x="14"/>
        <item x="54"/>
        <item t="default"/>
      </items>
    </pivotField>
    <pivotField axis="axisRow" showAll="0">
      <items count="500">
        <item x="32"/>
        <item x="34"/>
        <item x="141"/>
        <item x="143"/>
        <item x="225"/>
        <item x="264"/>
        <item x="265"/>
        <item x="266"/>
        <item x="285"/>
        <item x="286"/>
        <item x="287"/>
        <item x="288"/>
        <item x="305"/>
        <item x="306"/>
        <item x="314"/>
        <item x="315"/>
        <item x="307"/>
        <item x="308"/>
        <item x="316"/>
        <item x="317"/>
        <item x="468"/>
        <item x="460"/>
        <item x="464"/>
        <item x="152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480"/>
        <item x="484"/>
        <item x="226"/>
        <item x="267"/>
        <item x="268"/>
        <item x="289"/>
        <item x="290"/>
        <item x="297"/>
        <item x="298"/>
        <item x="309"/>
        <item x="310"/>
        <item x="318"/>
        <item x="291"/>
        <item x="292"/>
        <item x="299"/>
        <item x="300"/>
        <item x="311"/>
        <item x="312"/>
        <item x="319"/>
        <item x="320"/>
        <item x="469"/>
        <item x="461"/>
        <item x="465"/>
        <item x="153"/>
        <item x="481"/>
        <item x="485"/>
        <item x="269"/>
        <item x="227"/>
        <item x="270"/>
        <item x="456"/>
        <item x="457"/>
        <item x="293"/>
        <item x="294"/>
        <item x="301"/>
        <item x="302"/>
        <item x="295"/>
        <item x="296"/>
        <item x="303"/>
        <item x="304"/>
        <item x="47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466"/>
        <item x="482"/>
        <item x="486"/>
        <item x="271"/>
        <item x="272"/>
        <item x="471"/>
        <item x="467"/>
        <item x="483"/>
        <item x="435"/>
        <item x="436"/>
        <item x="186"/>
        <item x="437"/>
        <item x="146"/>
        <item x="147"/>
        <item x="187"/>
        <item x="148"/>
        <item x="149"/>
        <item x="448"/>
        <item x="449"/>
        <item x="422"/>
        <item x="423"/>
        <item x="424"/>
        <item x="425"/>
        <item x="450"/>
        <item x="451"/>
        <item x="426"/>
        <item x="427"/>
        <item x="428"/>
        <item x="429"/>
        <item x="430"/>
        <item x="431"/>
        <item x="432"/>
        <item x="433"/>
        <item x="150"/>
        <item x="33"/>
        <item x="35"/>
        <item x="36"/>
        <item x="154"/>
        <item x="458"/>
        <item x="459"/>
        <item x="452"/>
        <item x="453"/>
        <item x="454"/>
        <item x="455"/>
        <item x="472"/>
        <item x="462"/>
        <item x="438"/>
        <item x="487"/>
        <item x="434"/>
        <item x="25"/>
        <item x="26"/>
        <item x="27"/>
        <item x="28"/>
        <item x="29"/>
        <item x="30"/>
        <item x="355"/>
        <item x="356"/>
        <item x="357"/>
        <item x="358"/>
        <item x="411"/>
        <item x="410"/>
        <item x="413"/>
        <item x="412"/>
        <item x="415"/>
        <item x="414"/>
        <item x="417"/>
        <item x="416"/>
        <item x="359"/>
        <item x="360"/>
        <item x="361"/>
        <item x="419"/>
        <item x="418"/>
        <item x="421"/>
        <item x="420"/>
        <item x="362"/>
        <item x="363"/>
        <item x="364"/>
        <item x="365"/>
        <item x="366"/>
        <item x="367"/>
        <item x="368"/>
        <item x="369"/>
        <item x="473"/>
        <item x="474"/>
        <item x="475"/>
        <item x="463"/>
        <item x="142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144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88"/>
        <item x="155"/>
        <item x="195"/>
        <item x="196"/>
        <item x="197"/>
        <item x="4"/>
        <item x="5"/>
        <item x="6"/>
        <item x="7"/>
        <item x="8"/>
        <item x="9"/>
        <item x="10"/>
        <item x="11"/>
        <item x="12"/>
        <item x="13"/>
        <item x="0"/>
        <item x="1"/>
        <item x="2"/>
        <item x="3"/>
        <item x="489"/>
        <item x="490"/>
        <item x="491"/>
        <item x="492"/>
        <item x="493"/>
        <item x="494"/>
        <item x="495"/>
        <item x="496"/>
        <item x="497"/>
        <item x="145"/>
        <item x="156"/>
        <item x="477"/>
        <item x="476"/>
        <item x="14"/>
        <item x="15"/>
        <item x="16"/>
        <item x="17"/>
        <item x="18"/>
        <item x="19"/>
        <item x="20"/>
        <item x="21"/>
        <item x="22"/>
        <item x="23"/>
        <item x="24"/>
        <item x="198"/>
        <item x="199"/>
        <item x="200"/>
        <item x="201"/>
        <item x="202"/>
        <item x="203"/>
        <item x="204"/>
        <item x="205"/>
        <item x="206"/>
        <item x="478"/>
        <item x="157"/>
        <item x="158"/>
        <item x="159"/>
        <item x="160"/>
        <item x="188"/>
        <item x="161"/>
        <item x="162"/>
        <item x="163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164"/>
        <item x="165"/>
        <item x="166"/>
        <item x="167"/>
        <item x="219"/>
        <item x="220"/>
        <item x="221"/>
        <item x="222"/>
        <item x="223"/>
        <item x="224"/>
        <item x="168"/>
        <item x="169"/>
        <item x="170"/>
        <item x="171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72"/>
        <item x="173"/>
        <item x="76"/>
        <item x="77"/>
        <item x="479"/>
        <item x="174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175"/>
        <item x="176"/>
        <item x="439"/>
        <item x="440"/>
        <item x="441"/>
        <item x="442"/>
        <item x="443"/>
        <item x="444"/>
        <item x="445"/>
        <item x="263"/>
        <item x="31"/>
        <item x="189"/>
        <item x="190"/>
        <item x="191"/>
        <item x="192"/>
        <item x="177"/>
        <item x="193"/>
        <item x="178"/>
        <item x="179"/>
        <item x="194"/>
        <item x="446"/>
        <item x="447"/>
        <item x="180"/>
        <item x="181"/>
        <item x="182"/>
        <item x="183"/>
        <item x="184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185"/>
        <item x="151"/>
        <item x="313"/>
        <item x="498"/>
        <item t="default"/>
      </items>
    </pivotField>
    <pivotField showAll="0"/>
    <pivotField dataField="1" showAll="0"/>
    <pivotField showAll="0"/>
    <pivotField showAll="0">
      <items count="18">
        <item x="14"/>
        <item x="15"/>
        <item x="12"/>
        <item x="11"/>
        <item x="13"/>
        <item x="4"/>
        <item x="2"/>
        <item x="7"/>
        <item x="1"/>
        <item x="3"/>
        <item x="10"/>
        <item x="5"/>
        <item x="6"/>
        <item x="0"/>
        <item x="8"/>
        <item x="9"/>
        <item x="16"/>
        <item t="default"/>
      </items>
    </pivotField>
    <pivotField showAll="0">
      <items count="52">
        <item x="38"/>
        <item x="26"/>
        <item x="13"/>
        <item x="5"/>
        <item x="39"/>
        <item x="28"/>
        <item x="20"/>
        <item x="10"/>
        <item x="24"/>
        <item x="48"/>
        <item x="32"/>
        <item x="15"/>
        <item x="29"/>
        <item x="35"/>
        <item x="23"/>
        <item x="18"/>
        <item x="8"/>
        <item x="45"/>
        <item x="40"/>
        <item x="22"/>
        <item x="6"/>
        <item x="46"/>
        <item x="43"/>
        <item x="41"/>
        <item x="9"/>
        <item x="44"/>
        <item x="17"/>
        <item x="42"/>
        <item x="3"/>
        <item x="1"/>
        <item x="49"/>
        <item x="31"/>
        <item x="2"/>
        <item x="25"/>
        <item x="37"/>
        <item x="33"/>
        <item x="12"/>
        <item x="30"/>
        <item x="11"/>
        <item x="27"/>
        <item x="36"/>
        <item x="0"/>
        <item x="34"/>
        <item x="47"/>
        <item x="16"/>
        <item x="4"/>
        <item x="7"/>
        <item x="21"/>
        <item x="14"/>
        <item x="19"/>
        <item x="50"/>
        <item t="default"/>
      </items>
    </pivotField>
    <pivotField showAll="0"/>
    <pivotField showAll="0"/>
    <pivotField dataField="1" showAll="0"/>
    <pivotField showAll="0"/>
    <pivotField showAll="0">
      <items count="18">
        <item x="14"/>
        <item x="15"/>
        <item x="12"/>
        <item x="11"/>
        <item x="4"/>
        <item x="13"/>
        <item x="1"/>
        <item x="7"/>
        <item x="2"/>
        <item x="10"/>
        <item x="5"/>
        <item x="3"/>
        <item x="0"/>
        <item x="6"/>
        <item x="9"/>
        <item x="8"/>
        <item x="16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3">
    <field x="0"/>
    <field x="1"/>
    <field x="2"/>
  </rowFields>
  <rowItems count="6">
    <i>
      <x v="10"/>
    </i>
    <i r="1">
      <x v="17"/>
    </i>
    <i r="1">
      <x v="20"/>
    </i>
    <i r="1">
      <x v="21"/>
    </i>
    <i r="1">
      <x v="4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합계 : 260105최종수량" fld="4" baseField="0" baseItem="0"/>
    <dataField name="합계 : 260202최종수량" fld="10" baseField="0" baseItem="0"/>
    <dataField name="합계 : 수량 증감" fld="15" baseField="0" baseItem="0"/>
  </dataFields>
  <formats count="2">
    <format dxfId="4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0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DEF7D6-0212-4E02-82B5-95AF6B72BAD8}" name="피벗 테이블1" cacheId="2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3:D10" firstHeaderRow="0" firstDataRow="1" firstDataCol="1"/>
  <pivotFields count="19">
    <pivotField axis="axisRow" showAll="0">
      <items count="18">
        <item h="1" x="0"/>
        <item h="1" x="15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6"/>
        <item t="default"/>
      </items>
    </pivotField>
    <pivotField axis="axisRow" showAll="0">
      <items count="56">
        <item x="15"/>
        <item x="16"/>
        <item x="38"/>
        <item x="17"/>
        <item x="39"/>
        <item x="18"/>
        <item x="29"/>
        <item x="53"/>
        <item x="6"/>
        <item x="19"/>
        <item x="0"/>
        <item x="3"/>
        <item x="22"/>
        <item x="40"/>
        <item x="4"/>
        <item x="48"/>
        <item x="23"/>
        <item x="30"/>
        <item x="24"/>
        <item x="7"/>
        <item x="31"/>
        <item x="32"/>
        <item x="34"/>
        <item x="35"/>
        <item x="13"/>
        <item x="25"/>
        <item x="20"/>
        <item x="41"/>
        <item x="1"/>
        <item x="42"/>
        <item sd="0" x="8"/>
        <item x="43"/>
        <item x="26"/>
        <item x="5"/>
        <item sd="0" x="9"/>
        <item x="44"/>
        <item x="21"/>
        <item x="45"/>
        <item x="2"/>
        <item x="36"/>
        <item x="37"/>
        <item x="27"/>
        <item x="33"/>
        <item x="46"/>
        <item x="47"/>
        <item x="49"/>
        <item x="50"/>
        <item x="51"/>
        <item sd="0" x="10"/>
        <item sd="0" x="11"/>
        <item sd="0" x="12"/>
        <item x="28"/>
        <item x="52"/>
        <item x="14"/>
        <item x="54"/>
        <item t="default"/>
      </items>
    </pivotField>
    <pivotField axis="axisRow" showAll="0">
      <items count="500">
        <item x="32"/>
        <item x="34"/>
        <item x="141"/>
        <item x="143"/>
        <item x="225"/>
        <item x="264"/>
        <item x="265"/>
        <item x="266"/>
        <item x="285"/>
        <item x="286"/>
        <item x="287"/>
        <item x="288"/>
        <item x="305"/>
        <item x="306"/>
        <item x="314"/>
        <item x="315"/>
        <item x="307"/>
        <item x="308"/>
        <item x="316"/>
        <item x="317"/>
        <item x="468"/>
        <item x="460"/>
        <item x="464"/>
        <item x="152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480"/>
        <item x="484"/>
        <item x="226"/>
        <item x="267"/>
        <item x="268"/>
        <item x="289"/>
        <item x="290"/>
        <item x="297"/>
        <item x="298"/>
        <item x="309"/>
        <item x="310"/>
        <item x="318"/>
        <item x="291"/>
        <item x="292"/>
        <item x="299"/>
        <item x="300"/>
        <item x="311"/>
        <item x="312"/>
        <item x="319"/>
        <item x="320"/>
        <item x="469"/>
        <item x="461"/>
        <item x="465"/>
        <item x="153"/>
        <item x="481"/>
        <item x="485"/>
        <item x="269"/>
        <item x="227"/>
        <item x="270"/>
        <item x="456"/>
        <item x="457"/>
        <item x="293"/>
        <item x="294"/>
        <item x="301"/>
        <item x="302"/>
        <item x="295"/>
        <item x="296"/>
        <item x="303"/>
        <item x="304"/>
        <item x="47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466"/>
        <item x="482"/>
        <item x="486"/>
        <item x="271"/>
        <item x="272"/>
        <item x="471"/>
        <item x="467"/>
        <item x="483"/>
        <item x="435"/>
        <item x="436"/>
        <item x="186"/>
        <item x="437"/>
        <item x="146"/>
        <item x="147"/>
        <item x="187"/>
        <item x="148"/>
        <item x="149"/>
        <item x="448"/>
        <item x="449"/>
        <item x="422"/>
        <item x="423"/>
        <item x="424"/>
        <item x="425"/>
        <item x="450"/>
        <item x="451"/>
        <item x="426"/>
        <item x="427"/>
        <item x="428"/>
        <item x="429"/>
        <item x="430"/>
        <item x="431"/>
        <item x="432"/>
        <item x="433"/>
        <item x="150"/>
        <item x="33"/>
        <item x="35"/>
        <item x="36"/>
        <item x="154"/>
        <item x="458"/>
        <item x="459"/>
        <item x="452"/>
        <item x="453"/>
        <item x="454"/>
        <item x="455"/>
        <item x="472"/>
        <item x="462"/>
        <item x="438"/>
        <item x="487"/>
        <item x="434"/>
        <item x="25"/>
        <item x="26"/>
        <item x="27"/>
        <item x="28"/>
        <item x="29"/>
        <item x="30"/>
        <item x="355"/>
        <item x="356"/>
        <item x="357"/>
        <item x="358"/>
        <item x="411"/>
        <item x="410"/>
        <item x="413"/>
        <item x="412"/>
        <item x="415"/>
        <item x="414"/>
        <item x="417"/>
        <item x="416"/>
        <item x="359"/>
        <item x="360"/>
        <item x="361"/>
        <item x="419"/>
        <item x="418"/>
        <item x="421"/>
        <item x="420"/>
        <item x="362"/>
        <item x="363"/>
        <item x="364"/>
        <item x="365"/>
        <item x="366"/>
        <item x="367"/>
        <item x="368"/>
        <item x="369"/>
        <item x="473"/>
        <item x="474"/>
        <item x="475"/>
        <item x="463"/>
        <item x="142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144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88"/>
        <item x="155"/>
        <item x="195"/>
        <item x="196"/>
        <item x="197"/>
        <item x="4"/>
        <item x="5"/>
        <item x="6"/>
        <item x="7"/>
        <item x="8"/>
        <item x="9"/>
        <item x="10"/>
        <item x="11"/>
        <item x="12"/>
        <item x="13"/>
        <item x="0"/>
        <item x="1"/>
        <item x="2"/>
        <item x="3"/>
        <item x="489"/>
        <item x="490"/>
        <item x="491"/>
        <item x="492"/>
        <item x="493"/>
        <item x="494"/>
        <item x="495"/>
        <item x="496"/>
        <item x="497"/>
        <item x="145"/>
        <item x="156"/>
        <item x="477"/>
        <item x="476"/>
        <item x="14"/>
        <item x="15"/>
        <item x="16"/>
        <item x="17"/>
        <item x="18"/>
        <item x="19"/>
        <item x="20"/>
        <item x="21"/>
        <item x="22"/>
        <item x="23"/>
        <item x="24"/>
        <item x="198"/>
        <item x="199"/>
        <item x="200"/>
        <item x="201"/>
        <item x="202"/>
        <item x="203"/>
        <item x="204"/>
        <item x="205"/>
        <item x="206"/>
        <item x="478"/>
        <item x="157"/>
        <item x="158"/>
        <item x="159"/>
        <item x="160"/>
        <item x="188"/>
        <item x="161"/>
        <item x="162"/>
        <item x="163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164"/>
        <item x="165"/>
        <item x="166"/>
        <item x="167"/>
        <item x="219"/>
        <item x="220"/>
        <item x="221"/>
        <item x="222"/>
        <item x="223"/>
        <item x="224"/>
        <item x="168"/>
        <item x="169"/>
        <item x="170"/>
        <item x="171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72"/>
        <item x="173"/>
        <item x="76"/>
        <item x="77"/>
        <item x="479"/>
        <item x="174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175"/>
        <item x="176"/>
        <item x="439"/>
        <item x="440"/>
        <item x="441"/>
        <item x="442"/>
        <item x="443"/>
        <item x="444"/>
        <item x="445"/>
        <item x="263"/>
        <item x="31"/>
        <item x="189"/>
        <item x="190"/>
        <item x="191"/>
        <item x="192"/>
        <item x="177"/>
        <item x="193"/>
        <item x="178"/>
        <item x="179"/>
        <item x="194"/>
        <item x="446"/>
        <item x="447"/>
        <item x="180"/>
        <item x="181"/>
        <item x="182"/>
        <item x="183"/>
        <item x="184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185"/>
        <item x="151"/>
        <item x="313"/>
        <item x="498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3">
    <field x="0"/>
    <field x="1"/>
    <field x="2"/>
  </rowFields>
  <rowItems count="7">
    <i>
      <x v="4"/>
    </i>
    <i r="1">
      <x v="30"/>
    </i>
    <i r="1">
      <x v="34"/>
    </i>
    <i r="1">
      <x v="48"/>
    </i>
    <i r="1">
      <x v="49"/>
    </i>
    <i r="1">
      <x v="5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합계 : 260105최종수량" fld="4" baseField="0" baseItem="0"/>
    <dataField name="합계 : 260202최종수량" fld="10" baseField="0" baseItem="0"/>
    <dataField name="합계 : 수량 증감" fld="15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F637CA-4037-4D2D-BD1B-46BBE5184EC6}" name="피벗 테이블1" cacheId="2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B3:E574" firstHeaderRow="0" firstDataRow="1" firstDataCol="1"/>
  <pivotFields count="19">
    <pivotField axis="axisRow" showAll="0" sortType="descending">
      <items count="18">
        <item x="0"/>
        <item x="15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sd="0" x="16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axis="axisRow" showAll="0" sortType="descending">
      <items count="56">
        <item x="15"/>
        <item x="16"/>
        <item x="38"/>
        <item x="17"/>
        <item x="39"/>
        <item x="18"/>
        <item x="29"/>
        <item x="53"/>
        <item x="6"/>
        <item x="19"/>
        <item x="0"/>
        <item x="3"/>
        <item x="22"/>
        <item x="40"/>
        <item x="4"/>
        <item x="48"/>
        <item x="23"/>
        <item x="30"/>
        <item x="24"/>
        <item x="7"/>
        <item x="31"/>
        <item x="32"/>
        <item x="34"/>
        <item x="35"/>
        <item x="13"/>
        <item x="25"/>
        <item x="20"/>
        <item x="41"/>
        <item x="1"/>
        <item x="42"/>
        <item x="8"/>
        <item x="43"/>
        <item x="26"/>
        <item x="5"/>
        <item x="9"/>
        <item x="44"/>
        <item x="21"/>
        <item x="45"/>
        <item x="2"/>
        <item x="36"/>
        <item x="37"/>
        <item x="27"/>
        <item x="33"/>
        <item x="46"/>
        <item x="47"/>
        <item x="49"/>
        <item x="50"/>
        <item x="51"/>
        <item x="10"/>
        <item x="11"/>
        <item x="12"/>
        <item x="28"/>
        <item x="52"/>
        <item x="14"/>
        <item x="54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axis="axisRow" showAll="0" sortType="descending">
      <items count="500">
        <item x="32"/>
        <item x="34"/>
        <item x="141"/>
        <item x="143"/>
        <item x="225"/>
        <item x="264"/>
        <item x="265"/>
        <item x="266"/>
        <item x="285"/>
        <item x="286"/>
        <item x="287"/>
        <item x="288"/>
        <item x="305"/>
        <item x="306"/>
        <item x="314"/>
        <item x="315"/>
        <item x="307"/>
        <item x="308"/>
        <item x="316"/>
        <item x="317"/>
        <item x="468"/>
        <item x="460"/>
        <item x="464"/>
        <item x="152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480"/>
        <item x="484"/>
        <item x="226"/>
        <item x="267"/>
        <item x="268"/>
        <item x="289"/>
        <item x="290"/>
        <item x="297"/>
        <item x="298"/>
        <item x="309"/>
        <item x="310"/>
        <item x="318"/>
        <item x="291"/>
        <item x="292"/>
        <item x="299"/>
        <item x="300"/>
        <item x="311"/>
        <item x="312"/>
        <item x="319"/>
        <item x="320"/>
        <item x="469"/>
        <item x="461"/>
        <item x="465"/>
        <item x="153"/>
        <item x="481"/>
        <item x="485"/>
        <item x="269"/>
        <item x="227"/>
        <item x="270"/>
        <item x="456"/>
        <item x="457"/>
        <item x="293"/>
        <item x="294"/>
        <item x="301"/>
        <item x="302"/>
        <item x="295"/>
        <item x="296"/>
        <item x="303"/>
        <item x="304"/>
        <item x="47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466"/>
        <item x="482"/>
        <item x="486"/>
        <item x="271"/>
        <item x="272"/>
        <item x="471"/>
        <item x="467"/>
        <item x="483"/>
        <item x="435"/>
        <item x="436"/>
        <item x="186"/>
        <item x="437"/>
        <item x="146"/>
        <item x="147"/>
        <item x="187"/>
        <item x="148"/>
        <item x="149"/>
        <item x="448"/>
        <item x="449"/>
        <item x="422"/>
        <item x="423"/>
        <item x="424"/>
        <item x="425"/>
        <item x="450"/>
        <item x="451"/>
        <item x="426"/>
        <item x="427"/>
        <item x="428"/>
        <item x="429"/>
        <item x="430"/>
        <item x="431"/>
        <item x="432"/>
        <item x="433"/>
        <item x="150"/>
        <item x="33"/>
        <item x="35"/>
        <item x="36"/>
        <item x="154"/>
        <item x="458"/>
        <item x="459"/>
        <item x="452"/>
        <item x="453"/>
        <item x="454"/>
        <item x="455"/>
        <item x="472"/>
        <item x="462"/>
        <item x="438"/>
        <item x="487"/>
        <item x="434"/>
        <item x="25"/>
        <item x="26"/>
        <item x="27"/>
        <item x="28"/>
        <item x="29"/>
        <item x="30"/>
        <item x="355"/>
        <item x="356"/>
        <item x="357"/>
        <item x="358"/>
        <item x="411"/>
        <item x="410"/>
        <item x="413"/>
        <item x="412"/>
        <item x="415"/>
        <item x="414"/>
        <item x="417"/>
        <item x="416"/>
        <item x="359"/>
        <item x="360"/>
        <item x="361"/>
        <item x="419"/>
        <item x="418"/>
        <item x="421"/>
        <item x="420"/>
        <item x="362"/>
        <item x="363"/>
        <item x="364"/>
        <item x="365"/>
        <item x="366"/>
        <item x="367"/>
        <item x="368"/>
        <item x="369"/>
        <item x="473"/>
        <item x="474"/>
        <item x="475"/>
        <item x="463"/>
        <item x="142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144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88"/>
        <item x="155"/>
        <item x="195"/>
        <item x="196"/>
        <item x="197"/>
        <item x="4"/>
        <item x="5"/>
        <item x="6"/>
        <item x="7"/>
        <item x="8"/>
        <item x="9"/>
        <item x="10"/>
        <item x="11"/>
        <item x="12"/>
        <item x="13"/>
        <item x="0"/>
        <item x="1"/>
        <item x="2"/>
        <item x="3"/>
        <item x="489"/>
        <item x="490"/>
        <item x="491"/>
        <item x="492"/>
        <item x="493"/>
        <item x="494"/>
        <item x="495"/>
        <item x="496"/>
        <item x="497"/>
        <item x="145"/>
        <item x="156"/>
        <item x="477"/>
        <item x="476"/>
        <item x="14"/>
        <item x="15"/>
        <item x="16"/>
        <item x="17"/>
        <item x="18"/>
        <item x="19"/>
        <item x="20"/>
        <item x="21"/>
        <item x="22"/>
        <item x="23"/>
        <item x="24"/>
        <item x="198"/>
        <item x="199"/>
        <item x="200"/>
        <item x="201"/>
        <item x="202"/>
        <item x="203"/>
        <item x="204"/>
        <item x="205"/>
        <item x="206"/>
        <item x="478"/>
        <item x="157"/>
        <item x="158"/>
        <item x="159"/>
        <item x="160"/>
        <item x="188"/>
        <item x="161"/>
        <item x="162"/>
        <item x="163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164"/>
        <item x="165"/>
        <item x="166"/>
        <item x="167"/>
        <item x="219"/>
        <item x="220"/>
        <item x="221"/>
        <item x="222"/>
        <item x="223"/>
        <item x="224"/>
        <item x="168"/>
        <item x="169"/>
        <item x="170"/>
        <item x="171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72"/>
        <item x="173"/>
        <item x="76"/>
        <item x="77"/>
        <item x="479"/>
        <item x="174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175"/>
        <item x="176"/>
        <item x="439"/>
        <item x="440"/>
        <item x="441"/>
        <item x="442"/>
        <item x="443"/>
        <item x="444"/>
        <item x="445"/>
        <item x="263"/>
        <item x="31"/>
        <item x="189"/>
        <item x="190"/>
        <item x="191"/>
        <item x="192"/>
        <item x="177"/>
        <item x="193"/>
        <item x="178"/>
        <item x="179"/>
        <item x="194"/>
        <item x="446"/>
        <item x="447"/>
        <item x="180"/>
        <item x="181"/>
        <item x="182"/>
        <item x="183"/>
        <item x="184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185"/>
        <item x="151"/>
        <item x="313"/>
        <item x="498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3">
    <field x="0"/>
    <field x="1"/>
    <field x="2"/>
  </rowFields>
  <rowItems count="571">
    <i>
      <x v="4"/>
    </i>
    <i r="1">
      <x v="49"/>
    </i>
    <i r="2">
      <x v="371"/>
    </i>
    <i r="2">
      <x v="375"/>
    </i>
    <i r="2">
      <x v="364"/>
    </i>
    <i r="2">
      <x v="373"/>
    </i>
    <i r="2">
      <x v="370"/>
    </i>
    <i r="2">
      <x v="367"/>
    </i>
    <i r="2">
      <x v="353"/>
    </i>
    <i r="2">
      <x v="369"/>
    </i>
    <i r="2">
      <x v="374"/>
    </i>
    <i r="2">
      <x v="368"/>
    </i>
    <i r="2">
      <x v="366"/>
    </i>
    <i r="2">
      <x v="365"/>
    </i>
    <i r="2">
      <x v="354"/>
    </i>
    <i r="2">
      <x v="356"/>
    </i>
    <i r="2">
      <x v="387"/>
    </i>
    <i r="2">
      <x v="391"/>
    </i>
    <i r="2">
      <x v="376"/>
    </i>
    <i r="2">
      <x v="389"/>
    </i>
    <i r="2">
      <x v="388"/>
    </i>
    <i r="2">
      <x v="352"/>
    </i>
    <i r="2">
      <x v="380"/>
    </i>
    <i r="2">
      <x v="363"/>
    </i>
    <i r="2">
      <x v="358"/>
    </i>
    <i r="2">
      <x v="386"/>
    </i>
    <i r="2">
      <x v="385"/>
    </i>
    <i r="2">
      <x v="377"/>
    </i>
    <i r="2">
      <x v="382"/>
    </i>
    <i r="2">
      <x v="379"/>
    </i>
    <i r="2">
      <x v="383"/>
    </i>
    <i r="2">
      <x v="384"/>
    </i>
    <i r="2">
      <x v="381"/>
    </i>
    <i r="2">
      <x v="372"/>
    </i>
    <i r="2">
      <x v="357"/>
    </i>
    <i r="2">
      <x v="390"/>
    </i>
    <i r="2">
      <x v="378"/>
    </i>
    <i r="2">
      <x v="360"/>
    </i>
    <i r="2">
      <x v="362"/>
    </i>
    <i r="2">
      <x v="361"/>
    </i>
    <i r="2">
      <x v="355"/>
    </i>
    <i r="2">
      <x v="359"/>
    </i>
    <i r="1">
      <x v="30"/>
    </i>
    <i r="2">
      <x v="316"/>
    </i>
    <i r="2">
      <x v="318"/>
    </i>
    <i r="2">
      <x v="314"/>
    </i>
    <i r="2">
      <x v="315"/>
    </i>
    <i r="2">
      <x v="313"/>
    </i>
    <i r="2">
      <x v="317"/>
    </i>
    <i r="1">
      <x v="48"/>
    </i>
    <i r="2">
      <x v="418"/>
    </i>
    <i r="2">
      <x v="351"/>
    </i>
    <i r="2">
      <x v="417"/>
    </i>
    <i r="1">
      <x v="50"/>
    </i>
    <i r="2">
      <x v="399"/>
    </i>
    <i r="2">
      <x v="403"/>
    </i>
    <i r="2">
      <x v="400"/>
    </i>
    <i r="2">
      <x v="406"/>
    </i>
    <i r="2">
      <x v="405"/>
    </i>
    <i r="2">
      <x v="398"/>
    </i>
    <i r="2">
      <x v="414"/>
    </i>
    <i r="2">
      <x v="413"/>
    </i>
    <i r="2">
      <x v="412"/>
    </i>
    <i r="2">
      <x v="411"/>
    </i>
    <i r="2">
      <x v="409"/>
    </i>
    <i r="2">
      <x v="410"/>
    </i>
    <i r="2">
      <x v="396"/>
    </i>
    <i r="2">
      <x v="401"/>
    </i>
    <i r="2">
      <x v="397"/>
    </i>
    <i r="2">
      <x v="394"/>
    </i>
    <i r="2">
      <x v="404"/>
    </i>
    <i r="2">
      <x v="402"/>
    </i>
    <i r="2">
      <x v="407"/>
    </i>
    <i r="2">
      <x v="408"/>
    </i>
    <i r="2">
      <x v="392"/>
    </i>
    <i r="2">
      <x v="393"/>
    </i>
    <i r="2">
      <x v="395"/>
    </i>
    <i r="1">
      <x v="34"/>
    </i>
    <i r="2">
      <x v="323"/>
    </i>
    <i r="2">
      <x v="341"/>
    </i>
    <i r="2">
      <x v="338"/>
    </i>
    <i r="2">
      <x v="327"/>
    </i>
    <i r="2">
      <x v="334"/>
    </i>
    <i r="2">
      <x v="339"/>
    </i>
    <i r="2">
      <x v="345"/>
    </i>
    <i r="2">
      <x v="343"/>
    </i>
    <i r="2">
      <x v="325"/>
    </i>
    <i r="2">
      <x v="322"/>
    </i>
    <i r="2">
      <x v="350"/>
    </i>
    <i r="2">
      <x v="348"/>
    </i>
    <i r="2">
      <x v="335"/>
    </i>
    <i r="2">
      <x v="342"/>
    </i>
    <i r="2">
      <x v="319"/>
    </i>
    <i r="2">
      <x v="340"/>
    </i>
    <i r="2">
      <x v="347"/>
    </i>
    <i r="2">
      <x v="344"/>
    </i>
    <i r="2">
      <x v="328"/>
    </i>
    <i r="2">
      <x v="332"/>
    </i>
    <i r="2">
      <x v="331"/>
    </i>
    <i r="2">
      <x v="320"/>
    </i>
    <i r="2">
      <x v="321"/>
    </i>
    <i r="2">
      <x v="326"/>
    </i>
    <i r="2">
      <x v="336"/>
    </i>
    <i r="2">
      <x v="337"/>
    </i>
    <i r="2">
      <x v="349"/>
    </i>
    <i r="2">
      <x v="330"/>
    </i>
    <i r="2">
      <x v="346"/>
    </i>
    <i r="2">
      <x v="333"/>
    </i>
    <i r="2">
      <x v="324"/>
    </i>
    <i r="2">
      <x v="329"/>
    </i>
    <i>
      <x v="9"/>
    </i>
    <i r="1">
      <x v="25"/>
    </i>
    <i r="2">
      <x v="445"/>
    </i>
    <i r="2">
      <x v="425"/>
    </i>
    <i r="2">
      <x v="444"/>
    </i>
    <i r="2">
      <x v="427"/>
    </i>
    <i r="2">
      <x v="451"/>
    </i>
    <i r="2">
      <x v="422"/>
    </i>
    <i r="2">
      <x v="454"/>
    </i>
    <i r="2">
      <x v="450"/>
    </i>
    <i r="2">
      <x v="4"/>
    </i>
    <i r="2">
      <x v="440"/>
    </i>
    <i r="2">
      <x v="439"/>
    </i>
    <i r="2">
      <x v="437"/>
    </i>
    <i r="2">
      <x v="433"/>
    </i>
    <i r="2">
      <x v="426"/>
    </i>
    <i r="2">
      <x v="438"/>
    </i>
    <i r="2">
      <x v="431"/>
    </i>
    <i r="2">
      <x v="421"/>
    </i>
    <i r="2">
      <x v="434"/>
    </i>
    <i r="2">
      <x v="435"/>
    </i>
    <i r="2">
      <x v="436"/>
    </i>
    <i r="2">
      <x v="430"/>
    </i>
    <i r="2">
      <x v="67"/>
    </i>
    <i r="2">
      <x v="424"/>
    </i>
    <i r="2">
      <x v="449"/>
    </i>
    <i r="2">
      <x v="432"/>
    </i>
    <i r="2">
      <x v="446"/>
    </i>
    <i r="2">
      <x v="423"/>
    </i>
    <i r="2">
      <x v="443"/>
    </i>
    <i r="2">
      <x v="428"/>
    </i>
    <i r="2">
      <x v="42"/>
    </i>
    <i r="2">
      <x v="429"/>
    </i>
    <i r="2">
      <x v="448"/>
    </i>
    <i r="2">
      <x v="447"/>
    </i>
    <i r="2">
      <x v="441"/>
    </i>
    <i r="2">
      <x v="453"/>
    </i>
    <i r="2">
      <x v="452"/>
    </i>
    <i r="2">
      <x v="442"/>
    </i>
    <i r="2">
      <x v="455"/>
    </i>
    <i r="1">
      <x v="41"/>
    </i>
    <i r="2">
      <x v="43"/>
    </i>
    <i r="2">
      <x v="68"/>
    </i>
    <i r="2">
      <x v="100"/>
    </i>
    <i r="2">
      <x v="5"/>
    </i>
    <i r="2">
      <x v="44"/>
    </i>
    <i r="2">
      <x v="99"/>
    </i>
    <i r="2">
      <x v="7"/>
    </i>
    <i r="2">
      <x v="6"/>
    </i>
    <i r="2">
      <x v="66"/>
    </i>
    <i r="1">
      <x v="12"/>
    </i>
    <i r="2">
      <x v="271"/>
    </i>
    <i r="2">
      <x v="276"/>
    </i>
    <i r="2">
      <x v="270"/>
    </i>
    <i r="2">
      <x v="272"/>
    </i>
    <i r="2">
      <x v="273"/>
    </i>
    <i r="2">
      <x v="274"/>
    </i>
    <i r="2">
      <x v="277"/>
    </i>
    <i r="2">
      <x v="269"/>
    </i>
    <i r="2">
      <x v="275"/>
    </i>
    <i r="1">
      <x v="18"/>
    </i>
    <i r="2">
      <x v="306"/>
    </i>
    <i r="2">
      <x v="305"/>
    </i>
    <i r="2">
      <x v="308"/>
    </i>
    <i r="2">
      <x v="307"/>
    </i>
    <i r="2">
      <x v="303"/>
    </i>
    <i r="2">
      <x v="304"/>
    </i>
    <i r="1">
      <x v="32"/>
    </i>
    <i r="2">
      <x v="465"/>
    </i>
    <i r="1">
      <x v="51"/>
    </i>
    <i r="2">
      <x v="493"/>
    </i>
    <i r="2">
      <x v="485"/>
    </i>
    <i r="2">
      <x v="484"/>
    </i>
    <i r="2">
      <x v="483"/>
    </i>
    <i r="2">
      <x v="491"/>
    </i>
    <i r="2">
      <x v="490"/>
    </i>
    <i r="2">
      <x v="487"/>
    </i>
    <i r="2">
      <x v="492"/>
    </i>
    <i r="2">
      <x v="494"/>
    </i>
    <i r="2">
      <x v="486"/>
    </i>
    <i r="2">
      <x v="489"/>
    </i>
    <i r="2">
      <x v="488"/>
    </i>
    <i r="1">
      <x v="6"/>
    </i>
    <i r="2">
      <x v="8"/>
    </i>
    <i r="2">
      <x v="10"/>
    </i>
    <i r="2">
      <x v="11"/>
    </i>
    <i r="2">
      <x v="9"/>
    </i>
    <i r="1">
      <x v="16"/>
    </i>
    <i r="2">
      <x v="296"/>
    </i>
    <i r="2">
      <x v="297"/>
    </i>
    <i r="2">
      <x v="293"/>
    </i>
    <i r="2">
      <x v="290"/>
    </i>
    <i r="2">
      <x v="294"/>
    </i>
    <i r="2">
      <x v="288"/>
    </i>
    <i r="2">
      <x v="287"/>
    </i>
    <i r="2">
      <x v="292"/>
    </i>
    <i r="2">
      <x v="291"/>
    </i>
    <i r="2">
      <x v="298"/>
    </i>
    <i r="2">
      <x v="295"/>
    </i>
    <i r="2">
      <x v="289"/>
    </i>
    <i>
      <x v="15"/>
    </i>
    <i r="1">
      <x v="52"/>
    </i>
    <i r="2">
      <x v="226"/>
    </i>
    <i>
      <x v="1"/>
    </i>
    <i r="1">
      <x v="7"/>
    </i>
    <i r="2">
      <x v="247"/>
    </i>
    <i r="2">
      <x v="253"/>
    </i>
    <i r="2">
      <x v="251"/>
    </i>
    <i r="2">
      <x v="250"/>
    </i>
    <i r="2">
      <x v="249"/>
    </i>
    <i r="2">
      <x v="246"/>
    </i>
    <i r="2">
      <x v="252"/>
    </i>
    <i r="2">
      <x v="248"/>
    </i>
    <i r="2">
      <x v="245"/>
    </i>
    <i>
      <x v="16"/>
    </i>
    <i>
      <x v="12"/>
    </i>
    <i r="1">
      <x v="40"/>
    </i>
    <i r="2">
      <x v="169"/>
    </i>
    <i r="2">
      <x v="166"/>
    </i>
    <i r="2">
      <x v="162"/>
    </i>
    <i r="2">
      <x v="161"/>
    </i>
    <i r="2">
      <x v="155"/>
    </i>
    <i r="2">
      <x v="168"/>
    </i>
    <i r="2">
      <x v="159"/>
    </i>
    <i r="2">
      <x v="160"/>
    </i>
    <i r="2">
      <x v="158"/>
    </i>
    <i r="2">
      <x v="156"/>
    </i>
    <i r="2">
      <x v="167"/>
    </i>
    <i r="2">
      <x v="157"/>
    </i>
    <i>
      <x v="3"/>
    </i>
    <i r="1">
      <x v="8"/>
    </i>
    <i r="2">
      <x/>
    </i>
    <i r="2">
      <x v="130"/>
    </i>
    <i r="1">
      <x v="19"/>
    </i>
    <i r="2">
      <x v="131"/>
    </i>
    <i r="2">
      <x v="132"/>
    </i>
    <i r="2">
      <x v="1"/>
    </i>
    <i>
      <x v="14"/>
    </i>
    <i r="1">
      <x v="47"/>
    </i>
    <i r="2">
      <x v="143"/>
    </i>
    <i r="2">
      <x v="98"/>
    </i>
    <i r="2">
      <x v="41"/>
    </i>
    <i r="2">
      <x v="65"/>
    </i>
    <i r="1">
      <x v="22"/>
    </i>
    <i r="2">
      <x v="102"/>
    </i>
    <i r="2">
      <x v="96"/>
    </i>
    <i r="2">
      <x v="22"/>
    </i>
    <i r="2">
      <x v="62"/>
    </i>
    <i r="1">
      <x v="46"/>
    </i>
    <i r="2">
      <x v="103"/>
    </i>
    <i r="2">
      <x v="97"/>
    </i>
    <i r="2">
      <x v="40"/>
    </i>
    <i r="2">
      <x v="64"/>
    </i>
    <i r="1">
      <x v="15"/>
    </i>
    <i r="2">
      <x v="141"/>
    </i>
    <i r="2">
      <x v="61"/>
    </i>
    <i r="2">
      <x v="21"/>
    </i>
    <i r="2">
      <x v="181"/>
    </i>
    <i r="1">
      <x v="45"/>
    </i>
    <i r="2">
      <x v="278"/>
    </i>
    <i r="2">
      <x v="256"/>
    </i>
    <i r="2">
      <x v="179"/>
    </i>
    <i r="2">
      <x v="178"/>
    </i>
    <i r="2">
      <x v="140"/>
    </i>
    <i r="2">
      <x v="60"/>
    </i>
    <i r="2">
      <x v="20"/>
    </i>
    <i r="2">
      <x v="79"/>
    </i>
    <i r="2">
      <x v="101"/>
    </i>
    <i r="2">
      <x v="180"/>
    </i>
    <i r="2">
      <x v="257"/>
    </i>
    <i r="2">
      <x v="419"/>
    </i>
    <i>
      <x v="13"/>
    </i>
    <i r="1">
      <x v="31"/>
    </i>
    <i r="2">
      <x v="461"/>
    </i>
    <i r="2">
      <x v="464"/>
    </i>
    <i r="2">
      <x v="463"/>
    </i>
    <i r="2">
      <x v="459"/>
    </i>
    <i r="2">
      <x v="462"/>
    </i>
    <i r="2">
      <x v="458"/>
    </i>
    <i r="2">
      <x v="460"/>
    </i>
    <i r="1">
      <x v="27"/>
    </i>
    <i r="2">
      <x v="105"/>
    </i>
    <i r="2">
      <x v="104"/>
    </i>
    <i r="2">
      <x v="107"/>
    </i>
    <i r="1">
      <x v="4"/>
    </i>
    <i r="2">
      <x v="128"/>
    </i>
    <i r="1">
      <x v="13"/>
    </i>
    <i r="2">
      <x v="144"/>
    </i>
    <i r="1">
      <x v="29"/>
    </i>
    <i r="2">
      <x v="142"/>
    </i>
    <i r="1">
      <x v="35"/>
    </i>
    <i r="2">
      <x v="476"/>
    </i>
    <i r="2">
      <x v="477"/>
    </i>
    <i r="1">
      <x v="44"/>
    </i>
    <i r="2">
      <x v="134"/>
    </i>
    <i r="2">
      <x v="135"/>
    </i>
    <i r="1">
      <x v="37"/>
    </i>
    <i r="2">
      <x v="114"/>
    </i>
    <i r="2">
      <x v="139"/>
    </i>
    <i r="2">
      <x v="119"/>
    </i>
    <i r="2">
      <x v="113"/>
    </i>
    <i r="2">
      <x v="136"/>
    </i>
    <i r="2">
      <x v="138"/>
    </i>
    <i r="2">
      <x v="137"/>
    </i>
    <i r="2">
      <x v="120"/>
    </i>
    <i r="1">
      <x v="43"/>
    </i>
    <i r="2">
      <x v="69"/>
    </i>
    <i r="2">
      <x v="70"/>
    </i>
    <i r="1">
      <x v="2"/>
    </i>
    <i r="2">
      <x v="121"/>
    </i>
    <i r="2">
      <x v="115"/>
    </i>
    <i r="2">
      <x v="125"/>
    </i>
    <i r="2">
      <x v="123"/>
    </i>
    <i r="2">
      <x v="117"/>
    </i>
    <i r="2">
      <x v="124"/>
    </i>
    <i r="2">
      <x v="116"/>
    </i>
    <i r="2">
      <x v="118"/>
    </i>
    <i r="2">
      <x v="122"/>
    </i>
    <i r="2">
      <x v="126"/>
    </i>
    <i r="2">
      <x v="127"/>
    </i>
    <i>
      <x v="11"/>
    </i>
    <i r="1">
      <x v="23"/>
    </i>
    <i r="2">
      <x v="173"/>
    </i>
    <i r="2">
      <x v="177"/>
    </i>
    <i r="2">
      <x v="151"/>
    </i>
    <i r="2">
      <x v="152"/>
    </i>
    <i r="2">
      <x v="175"/>
    </i>
    <i r="2">
      <x v="163"/>
    </i>
    <i r="2">
      <x v="165"/>
    </i>
    <i r="2">
      <x v="153"/>
    </i>
    <i r="2">
      <x v="172"/>
    </i>
    <i r="2">
      <x v="176"/>
    </i>
    <i r="2">
      <x v="170"/>
    </i>
    <i r="2">
      <x v="154"/>
    </i>
    <i r="2">
      <x v="164"/>
    </i>
    <i r="2">
      <x v="171"/>
    </i>
    <i r="2">
      <x v="174"/>
    </i>
    <i r="1">
      <x v="39"/>
    </i>
    <i r="2">
      <x v="221"/>
    </i>
    <i r="2">
      <x v="225"/>
    </i>
    <i r="2">
      <x v="27"/>
    </i>
    <i r="2">
      <x v="206"/>
    </i>
    <i r="2">
      <x v="39"/>
    </i>
    <i r="2">
      <x v="224"/>
    </i>
    <i r="2">
      <x v="30"/>
    </i>
    <i r="2">
      <x v="37"/>
    </i>
    <i r="2">
      <x v="220"/>
    </i>
    <i r="2">
      <x v="205"/>
    </i>
    <i r="2">
      <x v="216"/>
    </i>
    <i r="2">
      <x v="208"/>
    </i>
    <i r="2">
      <x v="35"/>
    </i>
    <i r="2">
      <x v="214"/>
    </i>
    <i r="2">
      <x v="213"/>
    </i>
    <i r="2">
      <x v="210"/>
    </i>
    <i r="2">
      <x v="31"/>
    </i>
    <i r="2">
      <x v="28"/>
    </i>
    <i r="2">
      <x v="29"/>
    </i>
    <i r="2">
      <x v="36"/>
    </i>
    <i r="2">
      <x v="38"/>
    </i>
    <i r="2">
      <x v="215"/>
    </i>
    <i r="2">
      <x v="217"/>
    </i>
    <i r="2">
      <x v="34"/>
    </i>
    <i r="2">
      <x v="223"/>
    </i>
    <i r="2">
      <x v="211"/>
    </i>
    <i r="2">
      <x v="202"/>
    </i>
    <i r="2">
      <x v="209"/>
    </i>
    <i r="2">
      <x v="207"/>
    </i>
    <i r="2">
      <x v="25"/>
    </i>
    <i r="2">
      <x v="32"/>
    </i>
    <i r="2">
      <x v="222"/>
    </i>
    <i r="2">
      <x v="204"/>
    </i>
    <i r="2">
      <x v="212"/>
    </i>
    <i r="2">
      <x v="219"/>
    </i>
    <i r="2">
      <x v="203"/>
    </i>
    <i r="2">
      <x v="24"/>
    </i>
    <i r="2">
      <x v="33"/>
    </i>
    <i r="2">
      <x v="26"/>
    </i>
    <i r="2">
      <x v="218"/>
    </i>
    <i r="1">
      <x v="22"/>
    </i>
    <i r="2">
      <x v="87"/>
    </i>
    <i r="2">
      <x v="186"/>
    </i>
    <i r="2">
      <x v="197"/>
    </i>
    <i r="2">
      <x v="199"/>
    </i>
    <i r="2">
      <x v="198"/>
    </i>
    <i r="2">
      <x v="196"/>
    </i>
    <i r="2">
      <x v="88"/>
    </i>
    <i r="2">
      <x v="191"/>
    </i>
    <i r="2">
      <x v="92"/>
    </i>
    <i r="2">
      <x v="86"/>
    </i>
    <i r="2">
      <x v="189"/>
    </i>
    <i r="2">
      <x v="80"/>
    </i>
    <i r="2">
      <x v="188"/>
    </i>
    <i r="2">
      <x v="195"/>
    </i>
    <i r="2">
      <x v="83"/>
    </i>
    <i r="2">
      <x v="185"/>
    </i>
    <i r="2">
      <x v="81"/>
    </i>
    <i r="2">
      <x v="84"/>
    </i>
    <i r="2">
      <x v="91"/>
    </i>
    <i r="2">
      <x v="193"/>
    </i>
    <i r="2">
      <x v="93"/>
    </i>
    <i r="2">
      <x v="90"/>
    </i>
    <i r="2">
      <x v="95"/>
    </i>
    <i r="2">
      <x v="194"/>
    </i>
    <i r="2">
      <x v="192"/>
    </i>
    <i r="2">
      <x v="187"/>
    </i>
    <i r="2">
      <x v="183"/>
    </i>
    <i r="2">
      <x v="184"/>
    </i>
    <i r="2">
      <x v="200"/>
    </i>
    <i r="2">
      <x v="94"/>
    </i>
    <i r="2">
      <x v="89"/>
    </i>
    <i r="2">
      <x v="85"/>
    </i>
    <i r="2">
      <x v="82"/>
    </i>
    <i r="2">
      <x v="190"/>
    </i>
    <i>
      <x v="5"/>
    </i>
    <i r="1">
      <x v="24"/>
    </i>
    <i r="2">
      <x v="2"/>
    </i>
    <i r="2">
      <x v="182"/>
    </i>
    <i r="1">
      <x v="53"/>
    </i>
    <i r="2">
      <x v="3"/>
    </i>
    <i r="2">
      <x v="201"/>
    </i>
    <i>
      <x v="8"/>
    </i>
    <i r="1">
      <x v="26"/>
    </i>
    <i r="2">
      <x v="110"/>
    </i>
    <i r="2">
      <x v="106"/>
    </i>
    <i r="1">
      <x v="36"/>
    </i>
    <i r="2">
      <x v="283"/>
    </i>
    <i r="2">
      <x v="469"/>
    </i>
    <i r="2">
      <x v="229"/>
    </i>
    <i r="2">
      <x v="467"/>
    </i>
    <i r="2">
      <x v="230"/>
    </i>
    <i r="2">
      <x v="472"/>
    </i>
    <i r="2">
      <x v="228"/>
    </i>
    <i r="2">
      <x v="470"/>
    </i>
    <i r="2">
      <x v="475"/>
    </i>
    <i r="2">
      <x v="468"/>
    </i>
    <i>
      <x v="6"/>
    </i>
    <i r="1">
      <x v="3"/>
    </i>
    <i r="2">
      <x v="112"/>
    </i>
    <i r="2">
      <x v="111"/>
    </i>
    <i r="1">
      <x/>
    </i>
    <i r="2">
      <x v="254"/>
    </i>
    <i r="1">
      <x v="5"/>
    </i>
    <i r="2">
      <x v="129"/>
    </i>
    <i r="1">
      <x v="1"/>
    </i>
    <i r="2">
      <x v="108"/>
    </i>
    <i r="2">
      <x v="109"/>
    </i>
    <i>
      <x v="2"/>
    </i>
    <i r="1">
      <x v="33"/>
    </i>
    <i r="2">
      <x v="466"/>
    </i>
    <i r="1">
      <x v="11"/>
    </i>
    <i r="2">
      <x v="262"/>
    </i>
    <i r="2">
      <x v="265"/>
    </i>
    <i r="2">
      <x v="258"/>
    </i>
    <i r="2">
      <x v="268"/>
    </i>
    <i r="2">
      <x v="261"/>
    </i>
    <i r="2">
      <x v="267"/>
    </i>
    <i r="2">
      <x v="264"/>
    </i>
    <i r="2">
      <x v="266"/>
    </i>
    <i r="2">
      <x v="263"/>
    </i>
    <i r="2">
      <x v="259"/>
    </i>
    <i r="2">
      <x v="260"/>
    </i>
    <i r="1">
      <x v="14"/>
    </i>
    <i r="2">
      <x v="146"/>
    </i>
    <i r="2">
      <x v="150"/>
    </i>
    <i r="2">
      <x v="145"/>
    </i>
    <i r="2">
      <x v="147"/>
    </i>
    <i r="2">
      <x v="149"/>
    </i>
    <i r="2">
      <x v="148"/>
    </i>
    <i>
      <x v="7"/>
    </i>
    <i r="1">
      <x v="9"/>
    </i>
    <i r="2">
      <x v="479"/>
    </i>
    <i r="2">
      <x v="301"/>
    </i>
    <i r="2">
      <x v="471"/>
    </i>
    <i r="2">
      <x v="311"/>
    </i>
    <i r="2">
      <x v="309"/>
    </i>
    <i r="2">
      <x v="312"/>
    </i>
    <i r="2">
      <x v="416"/>
    </i>
    <i r="2">
      <x v="300"/>
    </i>
    <i r="2">
      <x v="456"/>
    </i>
    <i r="2">
      <x v="227"/>
    </i>
    <i r="2">
      <x v="63"/>
    </i>
    <i r="2">
      <x v="420"/>
    </i>
    <i r="2">
      <x v="415"/>
    </i>
    <i r="2">
      <x v="23"/>
    </i>
    <i r="2">
      <x v="133"/>
    </i>
    <i r="2">
      <x v="495"/>
    </i>
    <i r="2">
      <x v="496"/>
    </i>
    <i r="2">
      <x v="281"/>
    </i>
    <i r="2">
      <x v="473"/>
    </i>
    <i r="2">
      <x v="310"/>
    </i>
    <i r="2">
      <x v="482"/>
    </i>
    <i r="2">
      <x v="282"/>
    </i>
    <i r="2">
      <x v="478"/>
    </i>
    <i r="2">
      <x v="481"/>
    </i>
    <i r="2">
      <x v="279"/>
    </i>
    <i r="2">
      <x v="474"/>
    </i>
    <i r="2">
      <x v="284"/>
    </i>
    <i r="2">
      <x v="457"/>
    </i>
    <i r="2">
      <x v="302"/>
    </i>
    <i r="2">
      <x v="480"/>
    </i>
    <i r="2">
      <x v="299"/>
    </i>
    <i r="2">
      <x v="280"/>
    </i>
    <i r="2">
      <x v="285"/>
    </i>
    <i r="2">
      <x v="286"/>
    </i>
    <i r="2">
      <x v="255"/>
    </i>
    <i>
      <x/>
    </i>
    <i r="1">
      <x v="28"/>
    </i>
    <i r="2">
      <x v="231"/>
    </i>
    <i r="2">
      <x v="233"/>
    </i>
    <i r="2">
      <x v="232"/>
    </i>
    <i r="2">
      <x v="234"/>
    </i>
    <i r="1">
      <x v="38"/>
    </i>
    <i r="2">
      <x v="238"/>
    </i>
    <i r="2">
      <x v="235"/>
    </i>
    <i r="2">
      <x v="239"/>
    </i>
    <i r="2">
      <x v="236"/>
    </i>
    <i r="2">
      <x v="237"/>
    </i>
    <i r="2">
      <x v="240"/>
    </i>
    <i r="1">
      <x v="10"/>
    </i>
    <i r="2">
      <x v="241"/>
    </i>
    <i r="2">
      <x v="243"/>
    </i>
    <i r="2">
      <x v="242"/>
    </i>
    <i r="2">
      <x v="244"/>
    </i>
    <i>
      <x v="10"/>
    </i>
    <i r="1">
      <x v="21"/>
    </i>
    <i r="2">
      <x v="57"/>
    </i>
    <i r="2">
      <x v="49"/>
    </i>
    <i r="2">
      <x v="50"/>
    </i>
    <i r="2">
      <x v="16"/>
    </i>
    <i r="2">
      <x v="13"/>
    </i>
    <i r="2">
      <x v="56"/>
    </i>
    <i r="2">
      <x v="17"/>
    </i>
    <i r="2">
      <x v="12"/>
    </i>
    <i r="1">
      <x v="20"/>
    </i>
    <i r="2">
      <x v="74"/>
    </i>
    <i r="2">
      <x v="73"/>
    </i>
    <i r="2">
      <x v="77"/>
    </i>
    <i r="2">
      <x v="78"/>
    </i>
    <i r="2">
      <x v="47"/>
    </i>
    <i r="2">
      <x v="48"/>
    </i>
    <i r="2">
      <x v="55"/>
    </i>
    <i r="2">
      <x v="54"/>
    </i>
    <i r="1">
      <x v="42"/>
    </i>
    <i r="2">
      <x v="497"/>
    </i>
    <i r="2">
      <x v="58"/>
    </i>
    <i r="2">
      <x v="51"/>
    </i>
    <i r="2">
      <x v="19"/>
    </i>
    <i r="2">
      <x v="18"/>
    </i>
    <i r="2">
      <x v="59"/>
    </i>
    <i r="2">
      <x v="15"/>
    </i>
    <i r="2">
      <x v="14"/>
    </i>
    <i r="1">
      <x v="17"/>
    </i>
    <i r="2">
      <x v="72"/>
    </i>
    <i r="2">
      <x v="71"/>
    </i>
    <i r="2">
      <x v="76"/>
    </i>
    <i r="2">
      <x v="75"/>
    </i>
    <i r="2">
      <x v="45"/>
    </i>
    <i r="2">
      <x v="46"/>
    </i>
    <i r="2">
      <x v="52"/>
    </i>
    <i r="2">
      <x v="5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합계 : 260105최종수량" fld="4" baseField="0" baseItem="0"/>
    <dataField name="합계 : 260202최종수량" fld="10" baseField="0" baseItem="0"/>
    <dataField name="합계 : 수량 증감" fld="15" baseField="0" baseItem="0"/>
  </dataFields>
  <formats count="40">
    <format dxfId="39">
      <pivotArea collapsedLevelsAreSubtotals="1" fieldPosition="0">
        <references count="2">
          <reference field="0" count="1" selected="0">
            <x v="4"/>
          </reference>
          <reference field="1" count="1">
            <x v="30"/>
          </reference>
        </references>
      </pivotArea>
    </format>
    <format dxfId="38">
      <pivotArea dataOnly="0" labelOnly="1" fieldPosition="0">
        <references count="2">
          <reference field="0" count="1" selected="0">
            <x v="4"/>
          </reference>
          <reference field="1" count="1">
            <x v="30"/>
          </reference>
        </references>
      </pivotArea>
    </format>
    <format dxfId="37">
      <pivotArea collapsedLevelsAreSubtotals="1" fieldPosition="0">
        <references count="2">
          <reference field="0" count="1" selected="0">
            <x v="4"/>
          </reference>
          <reference field="1" count="2">
            <x v="48"/>
            <x v="49"/>
          </reference>
        </references>
      </pivotArea>
    </format>
    <format dxfId="36">
      <pivotArea dataOnly="0" labelOnly="1" fieldPosition="0">
        <references count="2">
          <reference field="0" count="1" selected="0">
            <x v="4"/>
          </reference>
          <reference field="1" count="2">
            <x v="48"/>
            <x v="49"/>
          </reference>
        </references>
      </pivotArea>
    </format>
    <format dxfId="35">
      <pivotArea collapsedLevelsAreSubtotals="1" fieldPosition="0">
        <references count="2">
          <reference field="0" count="1" selected="0">
            <x v="9"/>
          </reference>
          <reference field="1" count="1">
            <x v="25"/>
          </reference>
        </references>
      </pivotArea>
    </format>
    <format dxfId="34">
      <pivotArea dataOnly="0" labelOnly="1" fieldPosition="0">
        <references count="2">
          <reference field="0" count="1" selected="0">
            <x v="9"/>
          </reference>
          <reference field="1" count="1">
            <x v="25"/>
          </reference>
        </references>
      </pivotArea>
    </format>
    <format dxfId="33">
      <pivotArea collapsedLevelsAreSubtotals="1" fieldPosition="0">
        <references count="2">
          <reference field="0" count="1" selected="0">
            <x v="9"/>
          </reference>
          <reference field="1" count="3">
            <x v="12"/>
            <x v="18"/>
            <x v="41"/>
          </reference>
        </references>
      </pivotArea>
    </format>
    <format dxfId="32">
      <pivotArea dataOnly="0" labelOnly="1" fieldPosition="0">
        <references count="2">
          <reference field="0" count="1" selected="0">
            <x v="9"/>
          </reference>
          <reference field="1" count="3">
            <x v="12"/>
            <x v="18"/>
            <x v="41"/>
          </reference>
        </references>
      </pivotArea>
    </format>
    <format dxfId="31">
      <pivotArea collapsedLevelsAreSubtotals="1" fieldPosition="0">
        <references count="2">
          <reference field="0" count="1" selected="0">
            <x v="15"/>
          </reference>
          <reference field="1" count="1">
            <x v="52"/>
          </reference>
        </references>
      </pivotArea>
    </format>
    <format dxfId="30">
      <pivotArea dataOnly="0" labelOnly="1" fieldPosition="0">
        <references count="2">
          <reference field="0" count="1" selected="0">
            <x v="15"/>
          </reference>
          <reference field="1" count="1">
            <x v="52"/>
          </reference>
        </references>
      </pivotArea>
    </format>
    <format dxfId="29">
      <pivotArea collapsedLevelsAreSubtotals="1" fieldPosition="0">
        <references count="2">
          <reference field="0" count="1" selected="0">
            <x v="3"/>
          </reference>
          <reference field="1" count="1">
            <x v="8"/>
          </reference>
        </references>
      </pivotArea>
    </format>
    <format dxfId="28">
      <pivotArea dataOnly="0" labelOnly="1" fieldPosition="0">
        <references count="2">
          <reference field="0" count="1" selected="0">
            <x v="3"/>
          </reference>
          <reference field="1" count="1">
            <x v="8"/>
          </reference>
        </references>
      </pivotArea>
    </format>
    <format dxfId="27">
      <pivotArea collapsedLevelsAreSubtotals="1" fieldPosition="0">
        <references count="2">
          <reference field="0" count="1" selected="0">
            <x v="14"/>
          </reference>
          <reference field="1" count="3">
            <x v="22"/>
            <x v="46"/>
            <x v="47"/>
          </reference>
        </references>
      </pivotArea>
    </format>
    <format dxfId="26">
      <pivotArea dataOnly="0" labelOnly="1" fieldPosition="0">
        <references count="2">
          <reference field="0" count="1" selected="0">
            <x v="14"/>
          </reference>
          <reference field="1" count="3">
            <x v="22"/>
            <x v="46"/>
            <x v="47"/>
          </reference>
        </references>
      </pivotArea>
    </format>
    <format dxfId="25">
      <pivotArea collapsedLevelsAreSubtotals="1" fieldPosition="0">
        <references count="2">
          <reference field="0" count="1" selected="0">
            <x v="13"/>
          </reference>
          <reference field="1" count="3">
            <x v="4"/>
            <x v="27"/>
            <x v="31"/>
          </reference>
        </references>
      </pivotArea>
    </format>
    <format dxfId="24">
      <pivotArea dataOnly="0" labelOnly="1" fieldPosition="0">
        <references count="2">
          <reference field="0" count="1" selected="0">
            <x v="13"/>
          </reference>
          <reference field="1" count="3">
            <x v="4"/>
            <x v="27"/>
            <x v="31"/>
          </reference>
        </references>
      </pivotArea>
    </format>
    <format dxfId="23">
      <pivotArea collapsedLevelsAreSubtotals="1" fieldPosition="0">
        <references count="2">
          <reference field="0" count="1" selected="0">
            <x v="11"/>
          </reference>
          <reference field="1" count="1">
            <x v="23"/>
          </reference>
        </references>
      </pivotArea>
    </format>
    <format dxfId="22">
      <pivotArea dataOnly="0" labelOnly="1" fieldPosition="0">
        <references count="2">
          <reference field="0" count="1" selected="0">
            <x v="11"/>
          </reference>
          <reference field="1" count="1">
            <x v="23"/>
          </reference>
        </references>
      </pivotArea>
    </format>
    <format dxfId="21">
      <pivotArea collapsedLevelsAreSubtotals="1" fieldPosition="0">
        <references count="2">
          <reference field="0" count="1" selected="0">
            <x v="6"/>
          </reference>
          <reference field="1" count="2">
            <x v="0"/>
            <x v="3"/>
          </reference>
        </references>
      </pivotArea>
    </format>
    <format dxfId="20">
      <pivotArea dataOnly="0" labelOnly="1" fieldPosition="0">
        <references count="2">
          <reference field="0" count="1" selected="0">
            <x v="6"/>
          </reference>
          <reference field="1" count="2">
            <x v="0"/>
            <x v="3"/>
          </reference>
        </references>
      </pivotArea>
    </format>
    <format dxfId="19">
      <pivotArea collapsedLevelsAreSubtotals="1" fieldPosition="0">
        <references count="2">
          <reference field="0" count="1" selected="0">
            <x v="5"/>
          </reference>
          <reference field="1" count="1">
            <x v="24"/>
          </reference>
        </references>
      </pivotArea>
    </format>
    <format dxfId="18">
      <pivotArea dataOnly="0" labelOnly="1" fieldPosition="0">
        <references count="2">
          <reference field="0" count="1" selected="0">
            <x v="5"/>
          </reference>
          <reference field="1" count="1">
            <x v="24"/>
          </reference>
        </references>
      </pivotArea>
    </format>
    <format dxfId="17">
      <pivotArea collapsedLevelsAreSubtotals="1" fieldPosition="0">
        <references count="3">
          <reference field="0" count="1" selected="0">
            <x v="4"/>
          </reference>
          <reference field="1" count="1" selected="0">
            <x v="49"/>
          </reference>
          <reference field="2" count="5">
            <x v="364"/>
            <x v="370"/>
            <x v="371"/>
            <x v="373"/>
            <x v="375"/>
          </reference>
        </references>
      </pivotArea>
    </format>
    <format dxfId="16">
      <pivotArea dataOnly="0" labelOnly="1" fieldPosition="0">
        <references count="3">
          <reference field="0" count="1" selected="0">
            <x v="4"/>
          </reference>
          <reference field="1" count="1" selected="0">
            <x v="49"/>
          </reference>
          <reference field="2" count="5">
            <x v="364"/>
            <x v="370"/>
            <x v="371"/>
            <x v="373"/>
            <x v="375"/>
          </reference>
        </references>
      </pivotArea>
    </format>
    <format dxfId="15">
      <pivotArea collapsedLevelsAreSubtotals="1" fieldPosition="0">
        <references count="3">
          <reference field="0" count="1" selected="0">
            <x v="4"/>
          </reference>
          <reference field="1" count="1" selected="0">
            <x v="50"/>
          </reference>
          <reference field="2" count="1">
            <x v="399"/>
          </reference>
        </references>
      </pivotArea>
    </format>
    <format dxfId="14">
      <pivotArea dataOnly="0" labelOnly="1" fieldPosition="0">
        <references count="3">
          <reference field="0" count="1" selected="0">
            <x v="4"/>
          </reference>
          <reference field="1" count="1" selected="0">
            <x v="50"/>
          </reference>
          <reference field="2" count="1">
            <x v="399"/>
          </reference>
        </references>
      </pivotArea>
    </format>
    <format dxfId="13">
      <pivotArea collapsedLevelsAreSubtotals="1" fieldPosition="0">
        <references count="3">
          <reference field="0" count="1" selected="0">
            <x v="9"/>
          </reference>
          <reference field="1" count="1" selected="0">
            <x v="25"/>
          </reference>
          <reference field="2" count="2">
            <x v="425"/>
            <x v="445"/>
          </reference>
        </references>
      </pivotArea>
    </format>
    <format dxfId="12">
      <pivotArea dataOnly="0" labelOnly="1" fieldPosition="0">
        <references count="3">
          <reference field="0" count="1" selected="0">
            <x v="9"/>
          </reference>
          <reference field="1" count="1" selected="0">
            <x v="25"/>
          </reference>
          <reference field="2" count="2">
            <x v="425"/>
            <x v="445"/>
          </reference>
        </references>
      </pivotArea>
    </format>
    <format dxfId="11">
      <pivotArea collapsedLevelsAreSubtotals="1" fieldPosition="0">
        <references count="3">
          <reference field="0" count="1" selected="0">
            <x v="9"/>
          </reference>
          <reference field="1" count="1" selected="0">
            <x v="41"/>
          </reference>
          <reference field="2" count="1">
            <x v="43"/>
          </reference>
        </references>
      </pivotArea>
    </format>
    <format dxfId="10">
      <pivotArea dataOnly="0" labelOnly="1" fieldPosition="0">
        <references count="3">
          <reference field="0" count="1" selected="0">
            <x v="9"/>
          </reference>
          <reference field="1" count="1" selected="0">
            <x v="41"/>
          </reference>
          <reference field="2" count="1">
            <x v="43"/>
          </reference>
        </references>
      </pivotArea>
    </format>
    <format dxfId="9">
      <pivotArea collapsedLevelsAreSubtotals="1" fieldPosition="0">
        <references count="3">
          <reference field="0" count="1" selected="0">
            <x v="12"/>
          </reference>
          <reference field="1" count="1" selected="0">
            <x v="40"/>
          </reference>
          <reference field="2" count="1">
            <x v="169"/>
          </reference>
        </references>
      </pivotArea>
    </format>
    <format dxfId="8">
      <pivotArea dataOnly="0" labelOnly="1" fieldPosition="0">
        <references count="3">
          <reference field="0" count="1" selected="0">
            <x v="12"/>
          </reference>
          <reference field="1" count="1" selected="0">
            <x v="40"/>
          </reference>
          <reference field="2" count="1">
            <x v="169"/>
          </reference>
        </references>
      </pivotArea>
    </format>
    <format dxfId="7">
      <pivotArea collapsedLevelsAreSubtotals="1" fieldPosition="0">
        <references count="3">
          <reference field="0" count="1" selected="0">
            <x v="14"/>
          </reference>
          <reference field="1" count="1" selected="0">
            <x v="47"/>
          </reference>
          <reference field="2" count="2">
            <x v="98"/>
            <x v="143"/>
          </reference>
        </references>
      </pivotArea>
    </format>
    <format dxfId="6">
      <pivotArea dataOnly="0" labelOnly="1" fieldPosition="0">
        <references count="3">
          <reference field="0" count="1" selected="0">
            <x v="14"/>
          </reference>
          <reference field="1" count="1" selected="0">
            <x v="47"/>
          </reference>
          <reference field="2" count="2">
            <x v="98"/>
            <x v="143"/>
          </reference>
        </references>
      </pivotArea>
    </format>
    <format dxfId="5">
      <pivotArea collapsedLevelsAreSubtotals="1" fieldPosition="0">
        <references count="3">
          <reference field="0" count="1" selected="0">
            <x v="11"/>
          </reference>
          <reference field="1" count="1" selected="0">
            <x v="39"/>
          </reference>
          <reference field="2" count="1">
            <x v="221"/>
          </reference>
        </references>
      </pivotArea>
    </format>
    <format dxfId="4">
      <pivotArea dataOnly="0" labelOnly="1" fieldPosition="0">
        <references count="3">
          <reference field="0" count="1" selected="0">
            <x v="11"/>
          </reference>
          <reference field="1" count="1" selected="0">
            <x v="39"/>
          </reference>
          <reference field="2" count="1">
            <x v="221"/>
          </reference>
        </references>
      </pivotArea>
    </format>
    <format dxfId="3">
      <pivotArea collapsedLevelsAreSubtotals="1" fieldPosition="0">
        <references count="3">
          <reference field="0" count="1" selected="0">
            <x v="6"/>
          </reference>
          <reference field="1" count="1" selected="0">
            <x v="3"/>
          </reference>
          <reference field="2" count="1">
            <x v="112"/>
          </reference>
        </references>
      </pivotArea>
    </format>
    <format dxfId="2">
      <pivotArea dataOnly="0" labelOnly="1" fieldPosition="0">
        <references count="3">
          <reference field="0" count="1" selected="0">
            <x v="6"/>
          </reference>
          <reference field="1" count="1" selected="0">
            <x v="3"/>
          </reference>
          <reference field="2" count="1">
            <x v="112"/>
          </reference>
        </references>
      </pivotArea>
    </format>
    <format dxfId="1">
      <pivotArea collapsedLevelsAreSubtotals="1" fieldPosition="0">
        <references count="3">
          <reference field="0" count="1" selected="0">
            <x v="7"/>
          </reference>
          <reference field="1" count="1" selected="0">
            <x v="9"/>
          </reference>
          <reference field="2" count="3">
            <x v="301"/>
            <x v="471"/>
            <x v="479"/>
          </reference>
        </references>
      </pivotArea>
    </format>
    <format dxfId="0">
      <pivotArea dataOnly="0" labelOnly="1" fieldPosition="0">
        <references count="3">
          <reference field="0" count="1" selected="0">
            <x v="7"/>
          </reference>
          <reference field="1" count="1" selected="0">
            <x v="9"/>
          </reference>
          <reference field="2" count="3">
            <x v="301"/>
            <x v="471"/>
            <x v="479"/>
          </reference>
        </references>
      </pivotArea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445F83-EBA9-474E-BA55-A12633B664AC}" name="피벗 테이블1" cacheId="2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3:B77" firstHeaderRow="1" firstDataRow="1" firstDataCol="1"/>
  <pivotFields count="19">
    <pivotField axis="axisRow" showAll="0">
      <items count="18">
        <item x="0"/>
        <item x="15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6"/>
        <item t="default"/>
      </items>
    </pivotField>
    <pivotField axis="axisRow" showAll="0">
      <items count="56">
        <item x="15"/>
        <item x="16"/>
        <item x="38"/>
        <item x="17"/>
        <item x="39"/>
        <item x="18"/>
        <item x="29"/>
        <item x="53"/>
        <item x="6"/>
        <item x="19"/>
        <item x="0"/>
        <item x="3"/>
        <item x="22"/>
        <item x="40"/>
        <item x="4"/>
        <item x="48"/>
        <item x="23"/>
        <item x="30"/>
        <item x="24"/>
        <item x="7"/>
        <item x="31"/>
        <item x="32"/>
        <item x="34"/>
        <item x="35"/>
        <item x="13"/>
        <item x="25"/>
        <item x="20"/>
        <item x="41"/>
        <item x="1"/>
        <item x="42"/>
        <item x="8"/>
        <item x="43"/>
        <item x="26"/>
        <item x="5"/>
        <item x="9"/>
        <item x="44"/>
        <item x="21"/>
        <item x="45"/>
        <item x="2"/>
        <item x="36"/>
        <item x="37"/>
        <item x="27"/>
        <item x="33"/>
        <item x="46"/>
        <item x="47"/>
        <item x="49"/>
        <item x="50"/>
        <item x="51"/>
        <item x="10"/>
        <item x="11"/>
        <item x="12"/>
        <item x="28"/>
        <item x="52"/>
        <item x="14"/>
        <item x="5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74">
    <i>
      <x/>
    </i>
    <i r="1">
      <x v="10"/>
    </i>
    <i r="1">
      <x v="28"/>
    </i>
    <i r="1">
      <x v="38"/>
    </i>
    <i>
      <x v="1"/>
    </i>
    <i r="1">
      <x v="7"/>
    </i>
    <i>
      <x v="2"/>
    </i>
    <i r="1">
      <x v="11"/>
    </i>
    <i r="1">
      <x v="14"/>
    </i>
    <i r="1">
      <x v="33"/>
    </i>
    <i>
      <x v="3"/>
    </i>
    <i r="1">
      <x v="8"/>
    </i>
    <i r="1">
      <x v="19"/>
    </i>
    <i>
      <x v="4"/>
    </i>
    <i r="1">
      <x v="30"/>
    </i>
    <i r="1">
      <x v="34"/>
    </i>
    <i r="1">
      <x v="48"/>
    </i>
    <i r="1">
      <x v="49"/>
    </i>
    <i r="1">
      <x v="50"/>
    </i>
    <i>
      <x v="5"/>
    </i>
    <i r="1">
      <x v="24"/>
    </i>
    <i r="1">
      <x v="53"/>
    </i>
    <i>
      <x v="6"/>
    </i>
    <i r="1">
      <x/>
    </i>
    <i r="1">
      <x v="1"/>
    </i>
    <i r="1">
      <x v="3"/>
    </i>
    <i r="1">
      <x v="5"/>
    </i>
    <i>
      <x v="7"/>
    </i>
    <i r="1">
      <x v="9"/>
    </i>
    <i>
      <x v="8"/>
    </i>
    <i r="1">
      <x v="26"/>
    </i>
    <i r="1">
      <x v="36"/>
    </i>
    <i>
      <x v="9"/>
    </i>
    <i r="1">
      <x v="6"/>
    </i>
    <i r="1">
      <x v="12"/>
    </i>
    <i r="1">
      <x v="16"/>
    </i>
    <i r="1">
      <x v="18"/>
    </i>
    <i r="1">
      <x v="25"/>
    </i>
    <i r="1">
      <x v="32"/>
    </i>
    <i r="1">
      <x v="41"/>
    </i>
    <i r="1">
      <x v="51"/>
    </i>
    <i>
      <x v="10"/>
    </i>
    <i r="1">
      <x v="17"/>
    </i>
    <i r="1">
      <x v="20"/>
    </i>
    <i r="1">
      <x v="21"/>
    </i>
    <i r="1">
      <x v="42"/>
    </i>
    <i>
      <x v="11"/>
    </i>
    <i r="1">
      <x v="22"/>
    </i>
    <i r="1">
      <x v="23"/>
    </i>
    <i r="1">
      <x v="39"/>
    </i>
    <i>
      <x v="12"/>
    </i>
    <i r="1">
      <x v="40"/>
    </i>
    <i>
      <x v="13"/>
    </i>
    <i r="1">
      <x v="2"/>
    </i>
    <i r="1">
      <x v="4"/>
    </i>
    <i r="1">
      <x v="13"/>
    </i>
    <i r="1">
      <x v="27"/>
    </i>
    <i r="1">
      <x v="29"/>
    </i>
    <i r="1">
      <x v="31"/>
    </i>
    <i r="1">
      <x v="35"/>
    </i>
    <i r="1">
      <x v="37"/>
    </i>
    <i r="1">
      <x v="43"/>
    </i>
    <i r="1">
      <x v="44"/>
    </i>
    <i>
      <x v="14"/>
    </i>
    <i r="1">
      <x v="15"/>
    </i>
    <i r="1">
      <x v="22"/>
    </i>
    <i r="1">
      <x v="45"/>
    </i>
    <i r="1">
      <x v="46"/>
    </i>
    <i r="1">
      <x v="47"/>
    </i>
    <i>
      <x v="15"/>
    </i>
    <i r="1">
      <x v="52"/>
    </i>
    <i>
      <x v="16"/>
    </i>
    <i r="1">
      <x v="54"/>
    </i>
    <i t="grand">
      <x/>
    </i>
  </rowItems>
  <colItems count="1">
    <i/>
  </colItems>
  <dataFields count="1">
    <dataField name="합계 : 260202최종수량" fld="10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C4C4C-B585-499D-BDA9-7BB4D32C3ACC}">
  <dimension ref="A3:G41"/>
  <sheetViews>
    <sheetView workbookViewId="0">
      <selection activeCell="H3" sqref="H3"/>
    </sheetView>
  </sheetViews>
  <sheetFormatPr defaultRowHeight="19.2" x14ac:dyDescent="0.45"/>
  <cols>
    <col min="1" max="1" width="21.7265625" bestFit="1" customWidth="1"/>
    <col min="2" max="3" width="20.6328125" bestFit="1" customWidth="1"/>
    <col min="4" max="4" width="14.90625" style="14" bestFit="1" customWidth="1"/>
    <col min="5" max="5" width="12.453125" bestFit="1" customWidth="1"/>
    <col min="6" max="6" width="11.6328125" customWidth="1"/>
    <col min="7" max="9" width="12.453125" bestFit="1" customWidth="1"/>
    <col min="10" max="10" width="14.90625" bestFit="1" customWidth="1"/>
    <col min="11" max="13" width="12.453125" bestFit="1" customWidth="1"/>
    <col min="14" max="15" width="25.1796875" bestFit="1" customWidth="1"/>
    <col min="16" max="16" width="19.453125" bestFit="1" customWidth="1"/>
    <col min="17" max="17" width="36.90625" bestFit="1" customWidth="1"/>
    <col min="18" max="19" width="34.90625" bestFit="1" customWidth="1"/>
    <col min="20" max="20" width="36.90625" bestFit="1" customWidth="1"/>
    <col min="21" max="22" width="34.90625" bestFit="1" customWidth="1"/>
  </cols>
  <sheetData>
    <row r="3" spans="1:7" x14ac:dyDescent="0.45">
      <c r="A3" s="6" t="s">
        <v>582</v>
      </c>
      <c r="B3" t="s">
        <v>585</v>
      </c>
      <c r="C3" t="s">
        <v>586</v>
      </c>
      <c r="D3" s="14" t="s">
        <v>587</v>
      </c>
      <c r="E3" s="18" t="s">
        <v>588</v>
      </c>
      <c r="F3" s="18" t="s">
        <v>589</v>
      </c>
      <c r="G3" s="18" t="s">
        <v>590</v>
      </c>
    </row>
    <row r="4" spans="1:7" x14ac:dyDescent="0.45">
      <c r="A4" s="7" t="s">
        <v>44</v>
      </c>
      <c r="B4">
        <v>3162</v>
      </c>
      <c r="C4">
        <v>1708</v>
      </c>
      <c r="D4" s="14">
        <v>-1454</v>
      </c>
      <c r="E4" s="15">
        <v>0.26785260482846251</v>
      </c>
      <c r="F4" s="15">
        <v>0.19158721256309591</v>
      </c>
      <c r="G4" s="17">
        <f>F4-E4</f>
        <v>-7.6265392265366605E-2</v>
      </c>
    </row>
    <row r="5" spans="1:7" x14ac:dyDescent="0.45">
      <c r="A5" s="8" t="s">
        <v>45</v>
      </c>
      <c r="B5">
        <v>1109</v>
      </c>
      <c r="C5">
        <v>594</v>
      </c>
      <c r="D5" s="14">
        <v>-515</v>
      </c>
      <c r="E5" s="13">
        <v>0.35072738772928524</v>
      </c>
      <c r="F5" s="13">
        <v>0.3477751756440281</v>
      </c>
      <c r="G5" s="16">
        <f>F5-E5</f>
        <v>-2.9522120852571443E-3</v>
      </c>
    </row>
    <row r="6" spans="1:7" x14ac:dyDescent="0.45">
      <c r="A6" s="8" t="s">
        <v>46</v>
      </c>
      <c r="B6">
        <v>910</v>
      </c>
      <c r="C6">
        <v>465</v>
      </c>
      <c r="D6" s="14">
        <v>-445</v>
      </c>
      <c r="E6" s="13">
        <v>0.28779253636938645</v>
      </c>
      <c r="F6" s="13">
        <v>0.27224824355971899</v>
      </c>
      <c r="G6" s="19">
        <f t="shared" ref="G6:G8" si="0">F6-E6</f>
        <v>-1.5544292809667459E-2</v>
      </c>
    </row>
    <row r="7" spans="1:7" x14ac:dyDescent="0.45">
      <c r="A7" s="8" t="s">
        <v>47</v>
      </c>
      <c r="B7">
        <v>90</v>
      </c>
      <c r="C7">
        <v>64</v>
      </c>
      <c r="D7" s="14">
        <v>-26</v>
      </c>
      <c r="E7" s="13">
        <v>2.8462998102466792E-2</v>
      </c>
      <c r="F7" s="13">
        <v>3.7470725995316159E-2</v>
      </c>
      <c r="G7" s="16">
        <f t="shared" si="0"/>
        <v>9.0077278928493675E-3</v>
      </c>
    </row>
    <row r="8" spans="1:7" x14ac:dyDescent="0.45">
      <c r="A8" s="8" t="s">
        <v>48</v>
      </c>
      <c r="B8">
        <v>1053</v>
      </c>
      <c r="C8">
        <v>585</v>
      </c>
      <c r="D8" s="14">
        <v>-468</v>
      </c>
      <c r="E8" s="13">
        <v>0.33301707779886147</v>
      </c>
      <c r="F8" s="13">
        <v>0.34250585480093676</v>
      </c>
      <c r="G8" s="16">
        <f t="shared" si="0"/>
        <v>9.4887770020752882E-3</v>
      </c>
    </row>
    <row r="9" spans="1:7" x14ac:dyDescent="0.45">
      <c r="A9" s="7" t="s">
        <v>584</v>
      </c>
      <c r="B9">
        <v>3162</v>
      </c>
      <c r="C9">
        <v>1708</v>
      </c>
      <c r="D9" s="14">
        <v>-1454</v>
      </c>
    </row>
    <row r="10" spans="1:7" x14ac:dyDescent="0.45">
      <c r="D10"/>
    </row>
    <row r="11" spans="1:7" x14ac:dyDescent="0.45">
      <c r="D11"/>
    </row>
    <row r="12" spans="1:7" x14ac:dyDescent="0.45">
      <c r="D12"/>
    </row>
    <row r="13" spans="1:7" x14ac:dyDescent="0.45">
      <c r="D13"/>
    </row>
    <row r="14" spans="1:7" x14ac:dyDescent="0.45">
      <c r="D14"/>
    </row>
    <row r="15" spans="1:7" x14ac:dyDescent="0.45">
      <c r="D15"/>
    </row>
    <row r="16" spans="1:7" x14ac:dyDescent="0.45">
      <c r="D16"/>
    </row>
    <row r="17" spans="4:4" x14ac:dyDescent="0.45">
      <c r="D17"/>
    </row>
    <row r="18" spans="4:4" x14ac:dyDescent="0.45">
      <c r="D18"/>
    </row>
    <row r="19" spans="4:4" x14ac:dyDescent="0.45">
      <c r="D19"/>
    </row>
    <row r="20" spans="4:4" x14ac:dyDescent="0.45">
      <c r="D20"/>
    </row>
    <row r="21" spans="4:4" x14ac:dyDescent="0.45">
      <c r="D21"/>
    </row>
    <row r="22" spans="4:4" x14ac:dyDescent="0.45">
      <c r="D22"/>
    </row>
    <row r="23" spans="4:4" x14ac:dyDescent="0.45">
      <c r="D23"/>
    </row>
    <row r="24" spans="4:4" x14ac:dyDescent="0.45">
      <c r="D24"/>
    </row>
    <row r="25" spans="4:4" x14ac:dyDescent="0.45">
      <c r="D25"/>
    </row>
    <row r="26" spans="4:4" x14ac:dyDescent="0.45">
      <c r="D26"/>
    </row>
    <row r="27" spans="4:4" x14ac:dyDescent="0.45">
      <c r="D27"/>
    </row>
    <row r="28" spans="4:4" x14ac:dyDescent="0.45">
      <c r="D28"/>
    </row>
    <row r="29" spans="4:4" x14ac:dyDescent="0.45">
      <c r="D29"/>
    </row>
    <row r="30" spans="4:4" x14ac:dyDescent="0.45">
      <c r="D30"/>
    </row>
    <row r="31" spans="4:4" x14ac:dyDescent="0.45">
      <c r="D31"/>
    </row>
    <row r="32" spans="4:4" x14ac:dyDescent="0.45">
      <c r="D32"/>
    </row>
    <row r="33" spans="4:4" x14ac:dyDescent="0.45">
      <c r="D33"/>
    </row>
    <row r="34" spans="4:4" x14ac:dyDescent="0.45">
      <c r="D34"/>
    </row>
    <row r="35" spans="4:4" x14ac:dyDescent="0.45">
      <c r="D35"/>
    </row>
    <row r="36" spans="4:4" x14ac:dyDescent="0.45">
      <c r="D36"/>
    </row>
    <row r="37" spans="4:4" x14ac:dyDescent="0.45">
      <c r="D37"/>
    </row>
    <row r="38" spans="4:4" x14ac:dyDescent="0.45">
      <c r="D38"/>
    </row>
    <row r="39" spans="4:4" x14ac:dyDescent="0.45">
      <c r="D39"/>
    </row>
    <row r="40" spans="4:4" x14ac:dyDescent="0.45">
      <c r="D40"/>
    </row>
    <row r="41" spans="4:4" x14ac:dyDescent="0.45">
      <c r="D41"/>
    </row>
  </sheetData>
  <phoneticPr fontId="2" type="noConversion"/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A1323-850E-493C-80DC-B9A9AB17D4C3}">
  <dimension ref="A3:G11"/>
  <sheetViews>
    <sheetView workbookViewId="0">
      <selection activeCell="H5" sqref="H5"/>
    </sheetView>
  </sheetViews>
  <sheetFormatPr defaultRowHeight="19.2" x14ac:dyDescent="0.45"/>
  <cols>
    <col min="1" max="1" width="13.26953125" bestFit="1" customWidth="1"/>
    <col min="2" max="3" width="20.6328125" bestFit="1" customWidth="1"/>
    <col min="4" max="4" width="14.81640625" bestFit="1" customWidth="1"/>
  </cols>
  <sheetData>
    <row r="3" spans="1:7" x14ac:dyDescent="0.45">
      <c r="A3" s="6" t="s">
        <v>582</v>
      </c>
      <c r="B3" t="s">
        <v>585</v>
      </c>
      <c r="C3" t="s">
        <v>586</v>
      </c>
      <c r="D3" t="s">
        <v>587</v>
      </c>
      <c r="E3" s="18" t="s">
        <v>588</v>
      </c>
      <c r="F3" s="18" t="s">
        <v>589</v>
      </c>
      <c r="G3" s="18" t="s">
        <v>590</v>
      </c>
    </row>
    <row r="4" spans="1:7" x14ac:dyDescent="0.45">
      <c r="A4" s="7" t="s">
        <v>17</v>
      </c>
      <c r="B4">
        <v>469</v>
      </c>
      <c r="C4">
        <v>600</v>
      </c>
      <c r="D4">
        <v>131</v>
      </c>
      <c r="E4" s="15">
        <v>0.26785260482846251</v>
      </c>
      <c r="F4" s="15">
        <v>0.19158721256309591</v>
      </c>
      <c r="G4" s="17">
        <f>F4-E4</f>
        <v>-7.6265392265366605E-2</v>
      </c>
    </row>
    <row r="5" spans="1:7" x14ac:dyDescent="0.45">
      <c r="A5" s="8" t="s">
        <v>18</v>
      </c>
      <c r="B5">
        <v>39</v>
      </c>
      <c r="C5">
        <v>52</v>
      </c>
      <c r="D5">
        <v>13</v>
      </c>
      <c r="E5" s="20">
        <v>8.3000000000000007</v>
      </c>
      <c r="F5" s="20">
        <v>8.6999999999999993</v>
      </c>
      <c r="G5" s="21">
        <f>F5-E5</f>
        <v>0.39999999999999858</v>
      </c>
    </row>
    <row r="6" spans="1:7" x14ac:dyDescent="0.45">
      <c r="A6" s="8" t="s">
        <v>19</v>
      </c>
      <c r="B6">
        <v>64</v>
      </c>
      <c r="C6">
        <v>52</v>
      </c>
      <c r="D6">
        <v>-12</v>
      </c>
      <c r="E6" s="20">
        <v>13.6</v>
      </c>
      <c r="F6" s="20">
        <v>8.6999999999999993</v>
      </c>
      <c r="G6" s="22">
        <f t="shared" ref="G6:G9" si="0">F6-E6</f>
        <v>-4.9000000000000004</v>
      </c>
    </row>
    <row r="7" spans="1:7" x14ac:dyDescent="0.45">
      <c r="A7" s="8" t="s">
        <v>20</v>
      </c>
      <c r="B7">
        <v>8</v>
      </c>
      <c r="C7">
        <v>12</v>
      </c>
      <c r="D7">
        <v>4</v>
      </c>
      <c r="E7" s="20">
        <v>1.7</v>
      </c>
      <c r="F7" s="20">
        <v>2</v>
      </c>
      <c r="G7" s="21">
        <f t="shared" si="0"/>
        <v>0.30000000000000004</v>
      </c>
    </row>
    <row r="8" spans="1:7" x14ac:dyDescent="0.45">
      <c r="A8" s="8" t="s">
        <v>21</v>
      </c>
      <c r="B8">
        <v>201</v>
      </c>
      <c r="C8">
        <v>329</v>
      </c>
      <c r="D8">
        <v>128</v>
      </c>
      <c r="E8" s="20">
        <v>42.9</v>
      </c>
      <c r="F8" s="20">
        <v>54.8</v>
      </c>
      <c r="G8" s="21">
        <f t="shared" si="0"/>
        <v>11.899999999999999</v>
      </c>
    </row>
    <row r="9" spans="1:7" x14ac:dyDescent="0.45">
      <c r="A9" s="8" t="s">
        <v>22</v>
      </c>
      <c r="B9">
        <v>157</v>
      </c>
      <c r="C9">
        <v>155</v>
      </c>
      <c r="D9">
        <v>-2</v>
      </c>
      <c r="E9" s="20">
        <v>33.5</v>
      </c>
      <c r="F9" s="20">
        <v>25.8</v>
      </c>
      <c r="G9" s="22">
        <f t="shared" si="0"/>
        <v>-7.6999999999999993</v>
      </c>
    </row>
    <row r="10" spans="1:7" x14ac:dyDescent="0.45">
      <c r="A10" s="7" t="s">
        <v>584</v>
      </c>
      <c r="B10">
        <v>469</v>
      </c>
      <c r="C10">
        <v>600</v>
      </c>
      <c r="D10">
        <v>131</v>
      </c>
    </row>
    <row r="11" spans="1:7" x14ac:dyDescent="0.45">
      <c r="B11" s="23">
        <v>0.04</v>
      </c>
      <c r="C11" s="23">
        <v>6.7000000000000004E-2</v>
      </c>
      <c r="D11" s="24">
        <v>2.7900000000000001E-2</v>
      </c>
    </row>
  </sheetData>
  <phoneticPr fontId="2" type="noConversion"/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D4A33-8252-45BF-B4F3-D496E8A0E675}">
  <dimension ref="A3:F574"/>
  <sheetViews>
    <sheetView topLeftCell="A142" zoomScale="85" zoomScaleNormal="85" workbookViewId="0">
      <selection activeCell="A5" sqref="A5"/>
    </sheetView>
  </sheetViews>
  <sheetFormatPr defaultRowHeight="19.2" x14ac:dyDescent="0.45"/>
  <cols>
    <col min="1" max="1" width="4.26953125" customWidth="1"/>
    <col min="2" max="2" width="76.36328125" customWidth="1"/>
    <col min="3" max="4" width="21.453125" bestFit="1" customWidth="1"/>
    <col min="5" max="5" width="15.453125" bestFit="1" customWidth="1"/>
  </cols>
  <sheetData>
    <row r="3" spans="1:6" x14ac:dyDescent="0.45">
      <c r="A3" t="s">
        <v>593</v>
      </c>
      <c r="B3" s="6" t="s">
        <v>582</v>
      </c>
      <c r="C3" t="s">
        <v>585</v>
      </c>
      <c r="D3" t="s">
        <v>586</v>
      </c>
      <c r="E3" t="s">
        <v>587</v>
      </c>
      <c r="F3" t="s">
        <v>591</v>
      </c>
    </row>
    <row r="4" spans="1:6" x14ac:dyDescent="0.45">
      <c r="B4" s="7" t="s">
        <v>17</v>
      </c>
      <c r="C4">
        <v>469</v>
      </c>
      <c r="D4">
        <v>600</v>
      </c>
      <c r="E4">
        <v>131</v>
      </c>
    </row>
    <row r="5" spans="1:6" x14ac:dyDescent="0.45">
      <c r="B5" s="9" t="s">
        <v>21</v>
      </c>
      <c r="C5" s="4">
        <v>201</v>
      </c>
      <c r="D5" s="4">
        <v>329</v>
      </c>
      <c r="E5" s="4">
        <v>128</v>
      </c>
      <c r="F5" t="s">
        <v>592</v>
      </c>
    </row>
    <row r="6" spans="1:6" x14ac:dyDescent="0.45">
      <c r="B6" s="11" t="s">
        <v>182</v>
      </c>
      <c r="C6" s="12">
        <v>27</v>
      </c>
      <c r="D6" s="12">
        <v>68</v>
      </c>
      <c r="E6" s="12">
        <v>41</v>
      </c>
      <c r="F6" t="s">
        <v>592</v>
      </c>
    </row>
    <row r="7" spans="1:6" x14ac:dyDescent="0.45">
      <c r="A7" t="s">
        <v>595</v>
      </c>
      <c r="B7" s="11" t="s">
        <v>186</v>
      </c>
      <c r="C7" s="12">
        <v>32</v>
      </c>
      <c r="D7" s="12">
        <v>58</v>
      </c>
      <c r="E7" s="12">
        <v>26</v>
      </c>
      <c r="F7" t="s">
        <v>592</v>
      </c>
    </row>
    <row r="8" spans="1:6" x14ac:dyDescent="0.45">
      <c r="B8" s="11" t="s">
        <v>175</v>
      </c>
      <c r="C8" s="12">
        <v>2</v>
      </c>
      <c r="D8" s="12">
        <v>14</v>
      </c>
      <c r="E8" s="12">
        <v>12</v>
      </c>
      <c r="F8" t="s">
        <v>592</v>
      </c>
    </row>
    <row r="9" spans="1:6" x14ac:dyDescent="0.45">
      <c r="B9" s="11" t="s">
        <v>184</v>
      </c>
      <c r="C9" s="12">
        <v>12</v>
      </c>
      <c r="D9" s="12">
        <v>24</v>
      </c>
      <c r="E9" s="12">
        <v>12</v>
      </c>
      <c r="F9" t="s">
        <v>592</v>
      </c>
    </row>
    <row r="10" spans="1:6" x14ac:dyDescent="0.45">
      <c r="B10" s="11" t="s">
        <v>181</v>
      </c>
      <c r="C10" s="12">
        <v>8</v>
      </c>
      <c r="D10" s="12">
        <v>19</v>
      </c>
      <c r="E10" s="12">
        <v>11</v>
      </c>
      <c r="F10" t="s">
        <v>592</v>
      </c>
    </row>
    <row r="11" spans="1:6" x14ac:dyDescent="0.45">
      <c r="B11" s="10" t="s">
        <v>178</v>
      </c>
      <c r="C11">
        <v>10</v>
      </c>
      <c r="D11">
        <v>19</v>
      </c>
      <c r="E11">
        <v>9</v>
      </c>
      <c r="F11" t="s">
        <v>592</v>
      </c>
    </row>
    <row r="12" spans="1:6" x14ac:dyDescent="0.45">
      <c r="B12" s="10" t="s">
        <v>164</v>
      </c>
      <c r="C12">
        <v>0</v>
      </c>
      <c r="D12">
        <v>8</v>
      </c>
      <c r="E12">
        <v>8</v>
      </c>
      <c r="F12" t="s">
        <v>592</v>
      </c>
    </row>
    <row r="13" spans="1:6" x14ac:dyDescent="0.45">
      <c r="B13" s="10" t="s">
        <v>180</v>
      </c>
      <c r="C13">
        <v>5</v>
      </c>
      <c r="D13">
        <v>13</v>
      </c>
      <c r="E13">
        <v>8</v>
      </c>
      <c r="F13" t="s">
        <v>592</v>
      </c>
    </row>
    <row r="14" spans="1:6" x14ac:dyDescent="0.45">
      <c r="B14" s="10" t="s">
        <v>185</v>
      </c>
      <c r="C14">
        <v>9</v>
      </c>
      <c r="D14">
        <v>16</v>
      </c>
      <c r="E14">
        <v>7</v>
      </c>
      <c r="F14" t="s">
        <v>592</v>
      </c>
    </row>
    <row r="15" spans="1:6" x14ac:dyDescent="0.45">
      <c r="B15" s="10" t="s">
        <v>179</v>
      </c>
      <c r="C15">
        <v>6</v>
      </c>
      <c r="D15">
        <v>13</v>
      </c>
      <c r="E15">
        <v>7</v>
      </c>
      <c r="F15" t="s">
        <v>592</v>
      </c>
    </row>
    <row r="16" spans="1:6" x14ac:dyDescent="0.45">
      <c r="B16" s="10" t="s">
        <v>177</v>
      </c>
      <c r="C16">
        <v>3</v>
      </c>
      <c r="D16">
        <v>6</v>
      </c>
      <c r="E16">
        <v>3</v>
      </c>
      <c r="F16" t="s">
        <v>592</v>
      </c>
    </row>
    <row r="17" spans="2:6" x14ac:dyDescent="0.45">
      <c r="B17" s="10" t="s">
        <v>176</v>
      </c>
      <c r="C17">
        <v>4</v>
      </c>
      <c r="D17">
        <v>7</v>
      </c>
      <c r="E17">
        <v>3</v>
      </c>
      <c r="F17" t="s">
        <v>592</v>
      </c>
    </row>
    <row r="18" spans="2:6" x14ac:dyDescent="0.45">
      <c r="B18" s="10" t="s">
        <v>165</v>
      </c>
      <c r="C18">
        <v>1</v>
      </c>
      <c r="D18">
        <v>4</v>
      </c>
      <c r="E18">
        <v>3</v>
      </c>
      <c r="F18" t="s">
        <v>592</v>
      </c>
    </row>
    <row r="19" spans="2:6" x14ac:dyDescent="0.45">
      <c r="B19" s="10" t="s">
        <v>167</v>
      </c>
      <c r="C19">
        <v>1</v>
      </c>
      <c r="D19">
        <v>4</v>
      </c>
      <c r="E19">
        <v>3</v>
      </c>
      <c r="F19" t="s">
        <v>592</v>
      </c>
    </row>
    <row r="20" spans="2:6" x14ac:dyDescent="0.45">
      <c r="B20" s="10" t="s">
        <v>198</v>
      </c>
      <c r="C20">
        <v>2</v>
      </c>
      <c r="D20">
        <v>4</v>
      </c>
      <c r="E20">
        <v>2</v>
      </c>
      <c r="F20" t="s">
        <v>592</v>
      </c>
    </row>
    <row r="21" spans="2:6" x14ac:dyDescent="0.45">
      <c r="B21" s="10" t="s">
        <v>202</v>
      </c>
      <c r="C21">
        <v>1</v>
      </c>
      <c r="D21">
        <v>3</v>
      </c>
      <c r="E21">
        <v>2</v>
      </c>
      <c r="F21" t="s">
        <v>592</v>
      </c>
    </row>
    <row r="22" spans="2:6" x14ac:dyDescent="0.45">
      <c r="B22" s="10" t="s">
        <v>187</v>
      </c>
      <c r="C22">
        <v>0</v>
      </c>
      <c r="D22">
        <v>1</v>
      </c>
      <c r="E22">
        <v>1</v>
      </c>
      <c r="F22" t="s">
        <v>592</v>
      </c>
    </row>
    <row r="23" spans="2:6" x14ac:dyDescent="0.45">
      <c r="B23" s="10" t="s">
        <v>200</v>
      </c>
      <c r="C23">
        <v>1</v>
      </c>
      <c r="D23">
        <v>2</v>
      </c>
      <c r="E23">
        <v>1</v>
      </c>
      <c r="F23" t="s">
        <v>592</v>
      </c>
    </row>
    <row r="24" spans="2:6" x14ac:dyDescent="0.45">
      <c r="B24" s="10" t="s">
        <v>199</v>
      </c>
      <c r="C24">
        <v>1</v>
      </c>
      <c r="D24">
        <v>2</v>
      </c>
      <c r="E24">
        <v>1</v>
      </c>
      <c r="F24" t="s">
        <v>592</v>
      </c>
    </row>
    <row r="25" spans="2:6" x14ac:dyDescent="0.45">
      <c r="B25" s="10" t="s">
        <v>163</v>
      </c>
      <c r="C25">
        <v>3</v>
      </c>
      <c r="D25">
        <v>4</v>
      </c>
      <c r="E25">
        <v>1</v>
      </c>
      <c r="F25" t="s">
        <v>592</v>
      </c>
    </row>
    <row r="26" spans="2:6" x14ac:dyDescent="0.45">
      <c r="B26" s="10" t="s">
        <v>191</v>
      </c>
      <c r="C26">
        <v>0</v>
      </c>
      <c r="D26">
        <v>1</v>
      </c>
      <c r="E26">
        <v>1</v>
      </c>
      <c r="F26" t="s">
        <v>592</v>
      </c>
    </row>
    <row r="27" spans="2:6" x14ac:dyDescent="0.45">
      <c r="B27" s="10" t="s">
        <v>174</v>
      </c>
      <c r="C27">
        <v>1</v>
      </c>
      <c r="D27">
        <v>1</v>
      </c>
      <c r="E27">
        <v>0</v>
      </c>
      <c r="F27" t="s">
        <v>592</v>
      </c>
    </row>
    <row r="28" spans="2:6" x14ac:dyDescent="0.45">
      <c r="B28" s="10" t="s">
        <v>169</v>
      </c>
      <c r="C28">
        <v>2</v>
      </c>
      <c r="D28">
        <v>2</v>
      </c>
      <c r="E28">
        <v>0</v>
      </c>
      <c r="F28" t="s">
        <v>592</v>
      </c>
    </row>
    <row r="29" spans="2:6" x14ac:dyDescent="0.45">
      <c r="B29" s="10" t="s">
        <v>197</v>
      </c>
      <c r="C29">
        <v>1</v>
      </c>
      <c r="D29">
        <v>1</v>
      </c>
      <c r="E29">
        <v>0</v>
      </c>
      <c r="F29" t="s">
        <v>592</v>
      </c>
    </row>
    <row r="30" spans="2:6" x14ac:dyDescent="0.45">
      <c r="B30" s="10" t="s">
        <v>196</v>
      </c>
      <c r="C30">
        <v>1</v>
      </c>
      <c r="D30">
        <v>0</v>
      </c>
      <c r="E30">
        <v>-1</v>
      </c>
      <c r="F30" t="s">
        <v>592</v>
      </c>
    </row>
    <row r="31" spans="2:6" x14ac:dyDescent="0.45">
      <c r="B31" s="10" t="s">
        <v>188</v>
      </c>
      <c r="C31">
        <v>1</v>
      </c>
      <c r="D31">
        <v>0</v>
      </c>
      <c r="E31">
        <v>-1</v>
      </c>
      <c r="F31" t="s">
        <v>592</v>
      </c>
    </row>
    <row r="32" spans="2:6" x14ac:dyDescent="0.45">
      <c r="B32" s="10" t="s">
        <v>193</v>
      </c>
      <c r="C32">
        <v>1</v>
      </c>
      <c r="D32">
        <v>0</v>
      </c>
      <c r="E32">
        <v>-1</v>
      </c>
      <c r="F32" t="s">
        <v>592</v>
      </c>
    </row>
    <row r="33" spans="1:6" x14ac:dyDescent="0.45">
      <c r="B33" s="10" t="s">
        <v>190</v>
      </c>
      <c r="C33">
        <v>1</v>
      </c>
      <c r="D33">
        <v>0</v>
      </c>
      <c r="E33">
        <v>-1</v>
      </c>
      <c r="F33" t="s">
        <v>592</v>
      </c>
    </row>
    <row r="34" spans="1:6" x14ac:dyDescent="0.45">
      <c r="B34" s="10" t="s">
        <v>194</v>
      </c>
      <c r="C34">
        <v>1</v>
      </c>
      <c r="D34">
        <v>0</v>
      </c>
      <c r="E34">
        <v>-1</v>
      </c>
      <c r="F34" t="s">
        <v>592</v>
      </c>
    </row>
    <row r="35" spans="1:6" x14ac:dyDescent="0.45">
      <c r="B35" s="10" t="s">
        <v>195</v>
      </c>
      <c r="C35">
        <v>1</v>
      </c>
      <c r="D35">
        <v>0</v>
      </c>
      <c r="E35">
        <v>-1</v>
      </c>
      <c r="F35" t="s">
        <v>592</v>
      </c>
    </row>
    <row r="36" spans="1:6" x14ac:dyDescent="0.45">
      <c r="B36" s="10" t="s">
        <v>192</v>
      </c>
      <c r="C36">
        <v>1</v>
      </c>
      <c r="D36">
        <v>0</v>
      </c>
      <c r="E36">
        <v>-1</v>
      </c>
      <c r="F36" t="s">
        <v>592</v>
      </c>
    </row>
    <row r="37" spans="1:6" x14ac:dyDescent="0.45">
      <c r="B37" s="10" t="s">
        <v>183</v>
      </c>
      <c r="C37">
        <v>13</v>
      </c>
      <c r="D37">
        <v>12</v>
      </c>
      <c r="E37">
        <v>-1</v>
      </c>
      <c r="F37" t="s">
        <v>592</v>
      </c>
    </row>
    <row r="38" spans="1:6" x14ac:dyDescent="0.45">
      <c r="B38" s="10" t="s">
        <v>168</v>
      </c>
      <c r="C38">
        <v>2</v>
      </c>
      <c r="D38">
        <v>0</v>
      </c>
      <c r="E38">
        <v>-2</v>
      </c>
      <c r="F38" t="s">
        <v>592</v>
      </c>
    </row>
    <row r="39" spans="1:6" x14ac:dyDescent="0.45">
      <c r="B39" s="10" t="s">
        <v>201</v>
      </c>
      <c r="C39">
        <v>3</v>
      </c>
      <c r="D39">
        <v>1</v>
      </c>
      <c r="E39">
        <v>-2</v>
      </c>
      <c r="F39" t="s">
        <v>592</v>
      </c>
    </row>
    <row r="40" spans="1:6" x14ac:dyDescent="0.45">
      <c r="B40" s="10" t="s">
        <v>189</v>
      </c>
      <c r="C40">
        <v>2</v>
      </c>
      <c r="D40">
        <v>0</v>
      </c>
      <c r="E40">
        <v>-2</v>
      </c>
      <c r="F40" t="s">
        <v>592</v>
      </c>
    </row>
    <row r="41" spans="1:6" x14ac:dyDescent="0.45">
      <c r="B41" s="10" t="s">
        <v>171</v>
      </c>
      <c r="C41">
        <v>2</v>
      </c>
      <c r="D41">
        <v>0</v>
      </c>
      <c r="E41">
        <v>-2</v>
      </c>
      <c r="F41" t="s">
        <v>592</v>
      </c>
    </row>
    <row r="42" spans="1:6" x14ac:dyDescent="0.45">
      <c r="B42" s="10" t="s">
        <v>173</v>
      </c>
      <c r="C42">
        <v>4</v>
      </c>
      <c r="D42">
        <v>1</v>
      </c>
      <c r="E42">
        <v>-3</v>
      </c>
      <c r="F42" t="s">
        <v>592</v>
      </c>
    </row>
    <row r="43" spans="1:6" x14ac:dyDescent="0.45">
      <c r="B43" s="10" t="s">
        <v>172</v>
      </c>
      <c r="C43">
        <v>3</v>
      </c>
      <c r="D43">
        <v>0</v>
      </c>
      <c r="E43">
        <v>-3</v>
      </c>
      <c r="F43" t="s">
        <v>592</v>
      </c>
    </row>
    <row r="44" spans="1:6" x14ac:dyDescent="0.45">
      <c r="A44" t="s">
        <v>594</v>
      </c>
      <c r="B44" s="10" t="s">
        <v>166</v>
      </c>
      <c r="C44">
        <v>19</v>
      </c>
      <c r="D44">
        <v>13</v>
      </c>
      <c r="E44">
        <v>-6</v>
      </c>
      <c r="F44" t="s">
        <v>592</v>
      </c>
    </row>
    <row r="45" spans="1:6" x14ac:dyDescent="0.45">
      <c r="B45" s="10" t="s">
        <v>170</v>
      </c>
      <c r="C45">
        <v>14</v>
      </c>
      <c r="D45">
        <v>8</v>
      </c>
      <c r="E45">
        <v>-6</v>
      </c>
      <c r="F45" t="s">
        <v>592</v>
      </c>
    </row>
    <row r="46" spans="1:6" x14ac:dyDescent="0.45">
      <c r="B46" s="9" t="s">
        <v>18</v>
      </c>
      <c r="C46" s="4">
        <v>39</v>
      </c>
      <c r="D46" s="4">
        <v>52</v>
      </c>
      <c r="E46" s="4">
        <v>13</v>
      </c>
      <c r="F46" t="s">
        <v>592</v>
      </c>
    </row>
    <row r="47" spans="1:6" x14ac:dyDescent="0.45">
      <c r="B47" s="10" t="s">
        <v>125</v>
      </c>
      <c r="C47">
        <v>6</v>
      </c>
      <c r="D47">
        <v>15</v>
      </c>
      <c r="E47">
        <v>9</v>
      </c>
      <c r="F47" t="s">
        <v>592</v>
      </c>
    </row>
    <row r="48" spans="1:6" x14ac:dyDescent="0.45">
      <c r="B48" s="10" t="s">
        <v>127</v>
      </c>
      <c r="C48">
        <v>2</v>
      </c>
      <c r="D48">
        <v>8</v>
      </c>
      <c r="E48">
        <v>6</v>
      </c>
      <c r="F48" t="s">
        <v>592</v>
      </c>
    </row>
    <row r="49" spans="1:6" x14ac:dyDescent="0.45">
      <c r="B49" s="10" t="s">
        <v>123</v>
      </c>
      <c r="C49">
        <v>16</v>
      </c>
      <c r="D49">
        <v>19</v>
      </c>
      <c r="E49">
        <v>3</v>
      </c>
      <c r="F49" t="s">
        <v>592</v>
      </c>
    </row>
    <row r="50" spans="1:6" x14ac:dyDescent="0.45">
      <c r="B50" s="10" t="s">
        <v>124</v>
      </c>
      <c r="C50">
        <v>6</v>
      </c>
      <c r="D50">
        <v>6</v>
      </c>
      <c r="E50">
        <v>0</v>
      </c>
      <c r="F50" t="s">
        <v>592</v>
      </c>
    </row>
    <row r="51" spans="1:6" x14ac:dyDescent="0.45">
      <c r="B51" s="10" t="s">
        <v>122</v>
      </c>
      <c r="C51">
        <v>5</v>
      </c>
      <c r="D51">
        <v>4</v>
      </c>
      <c r="E51">
        <v>-1</v>
      </c>
      <c r="F51" t="s">
        <v>592</v>
      </c>
    </row>
    <row r="52" spans="1:6" x14ac:dyDescent="0.45">
      <c r="B52" s="10" t="s">
        <v>126</v>
      </c>
      <c r="C52">
        <v>4</v>
      </c>
      <c r="D52">
        <v>0</v>
      </c>
      <c r="E52">
        <v>-4</v>
      </c>
      <c r="F52" t="s">
        <v>592</v>
      </c>
    </row>
    <row r="53" spans="1:6" x14ac:dyDescent="0.45">
      <c r="B53" s="9" t="s">
        <v>20</v>
      </c>
      <c r="C53" s="4">
        <v>8</v>
      </c>
      <c r="D53" s="4">
        <v>12</v>
      </c>
      <c r="E53" s="4">
        <v>4</v>
      </c>
      <c r="F53" t="s">
        <v>592</v>
      </c>
    </row>
    <row r="54" spans="1:6" x14ac:dyDescent="0.45">
      <c r="A54" t="s">
        <v>594</v>
      </c>
      <c r="B54" s="10" t="s">
        <v>162</v>
      </c>
      <c r="C54">
        <v>7</v>
      </c>
      <c r="D54">
        <v>10</v>
      </c>
      <c r="E54">
        <v>3</v>
      </c>
      <c r="F54" t="s">
        <v>592</v>
      </c>
    </row>
    <row r="55" spans="1:6" x14ac:dyDescent="0.45">
      <c r="B55" s="10" t="s">
        <v>160</v>
      </c>
      <c r="C55">
        <v>0</v>
      </c>
      <c r="D55">
        <v>2</v>
      </c>
      <c r="E55">
        <v>2</v>
      </c>
      <c r="F55" t="s">
        <v>592</v>
      </c>
    </row>
    <row r="56" spans="1:6" x14ac:dyDescent="0.45">
      <c r="B56" s="10" t="s">
        <v>161</v>
      </c>
      <c r="C56">
        <v>1</v>
      </c>
      <c r="D56">
        <v>0</v>
      </c>
      <c r="E56">
        <v>-1</v>
      </c>
      <c r="F56" t="s">
        <v>592</v>
      </c>
    </row>
    <row r="57" spans="1:6" x14ac:dyDescent="0.45">
      <c r="B57" s="8" t="s">
        <v>22</v>
      </c>
      <c r="C57">
        <v>157</v>
      </c>
      <c r="D57">
        <v>155</v>
      </c>
      <c r="E57">
        <v>-2</v>
      </c>
      <c r="F57" t="s">
        <v>592</v>
      </c>
    </row>
    <row r="58" spans="1:6" x14ac:dyDescent="0.45">
      <c r="A58" t="s">
        <v>594</v>
      </c>
      <c r="B58" s="11" t="s">
        <v>210</v>
      </c>
      <c r="C58" s="12">
        <v>44</v>
      </c>
      <c r="D58" s="12">
        <v>57</v>
      </c>
      <c r="E58" s="12">
        <v>13</v>
      </c>
      <c r="F58" t="s">
        <v>592</v>
      </c>
    </row>
    <row r="59" spans="1:6" x14ac:dyDescent="0.45">
      <c r="B59" s="10" t="s">
        <v>214</v>
      </c>
      <c r="C59">
        <v>15</v>
      </c>
      <c r="D59">
        <v>23</v>
      </c>
      <c r="E59">
        <v>8</v>
      </c>
      <c r="F59" t="s">
        <v>592</v>
      </c>
    </row>
    <row r="60" spans="1:6" x14ac:dyDescent="0.45">
      <c r="B60" s="10" t="s">
        <v>211</v>
      </c>
      <c r="C60">
        <v>1</v>
      </c>
      <c r="D60">
        <v>7</v>
      </c>
      <c r="E60">
        <v>6</v>
      </c>
      <c r="F60" t="s">
        <v>592</v>
      </c>
    </row>
    <row r="61" spans="1:6" x14ac:dyDescent="0.45">
      <c r="B61" s="10" t="s">
        <v>217</v>
      </c>
      <c r="C61">
        <v>0</v>
      </c>
      <c r="D61">
        <v>4</v>
      </c>
      <c r="E61">
        <v>4</v>
      </c>
      <c r="F61" t="s">
        <v>592</v>
      </c>
    </row>
    <row r="62" spans="1:6" x14ac:dyDescent="0.45">
      <c r="B62" s="10" t="s">
        <v>216</v>
      </c>
      <c r="C62">
        <v>0</v>
      </c>
      <c r="D62">
        <v>2</v>
      </c>
      <c r="E62">
        <v>2</v>
      </c>
      <c r="F62" t="s">
        <v>592</v>
      </c>
    </row>
    <row r="63" spans="1:6" x14ac:dyDescent="0.45">
      <c r="B63" s="10" t="s">
        <v>209</v>
      </c>
      <c r="C63">
        <v>1</v>
      </c>
      <c r="D63">
        <v>3</v>
      </c>
      <c r="E63">
        <v>2</v>
      </c>
      <c r="F63" t="s">
        <v>592</v>
      </c>
    </row>
    <row r="64" spans="1:6" x14ac:dyDescent="0.45">
      <c r="B64" s="10" t="s">
        <v>225</v>
      </c>
      <c r="C64">
        <v>2</v>
      </c>
      <c r="D64">
        <v>4</v>
      </c>
      <c r="E64">
        <v>2</v>
      </c>
      <c r="F64" t="s">
        <v>592</v>
      </c>
    </row>
    <row r="65" spans="2:6" x14ac:dyDescent="0.45">
      <c r="B65" s="10" t="s">
        <v>224</v>
      </c>
      <c r="C65">
        <v>0</v>
      </c>
      <c r="D65">
        <v>1</v>
      </c>
      <c r="E65">
        <v>1</v>
      </c>
      <c r="F65" t="s">
        <v>592</v>
      </c>
    </row>
    <row r="66" spans="2:6" x14ac:dyDescent="0.45">
      <c r="B66" s="10" t="s">
        <v>223</v>
      </c>
      <c r="C66">
        <v>1</v>
      </c>
      <c r="D66">
        <v>2</v>
      </c>
      <c r="E66">
        <v>1</v>
      </c>
      <c r="F66" t="s">
        <v>592</v>
      </c>
    </row>
    <row r="67" spans="2:6" x14ac:dyDescent="0.45">
      <c r="B67" s="10" t="s">
        <v>222</v>
      </c>
      <c r="C67">
        <v>6</v>
      </c>
      <c r="D67">
        <v>7</v>
      </c>
      <c r="E67">
        <v>1</v>
      </c>
      <c r="F67" t="s">
        <v>592</v>
      </c>
    </row>
    <row r="68" spans="2:6" x14ac:dyDescent="0.45">
      <c r="B68" s="10" t="s">
        <v>220</v>
      </c>
      <c r="C68">
        <v>1</v>
      </c>
      <c r="D68">
        <v>0</v>
      </c>
      <c r="E68">
        <v>-1</v>
      </c>
      <c r="F68" t="s">
        <v>592</v>
      </c>
    </row>
    <row r="69" spans="2:6" x14ac:dyDescent="0.45">
      <c r="B69" s="10" t="s">
        <v>221</v>
      </c>
      <c r="C69">
        <v>1</v>
      </c>
      <c r="D69">
        <v>0</v>
      </c>
      <c r="E69">
        <v>-1</v>
      </c>
      <c r="F69" t="s">
        <v>592</v>
      </c>
    </row>
    <row r="70" spans="2:6" x14ac:dyDescent="0.45">
      <c r="B70" s="10" t="s">
        <v>207</v>
      </c>
      <c r="C70">
        <v>10</v>
      </c>
      <c r="D70">
        <v>9</v>
      </c>
      <c r="E70">
        <v>-1</v>
      </c>
      <c r="F70" t="s">
        <v>592</v>
      </c>
    </row>
    <row r="71" spans="2:6" x14ac:dyDescent="0.45">
      <c r="B71" s="10" t="s">
        <v>212</v>
      </c>
      <c r="C71">
        <v>2</v>
      </c>
      <c r="D71">
        <v>1</v>
      </c>
      <c r="E71">
        <v>-1</v>
      </c>
      <c r="F71" t="s">
        <v>592</v>
      </c>
    </row>
    <row r="72" spans="2:6" x14ac:dyDescent="0.45">
      <c r="B72" s="10" t="s">
        <v>208</v>
      </c>
      <c r="C72">
        <v>6</v>
      </c>
      <c r="D72">
        <v>5</v>
      </c>
      <c r="E72">
        <v>-1</v>
      </c>
      <c r="F72" t="s">
        <v>592</v>
      </c>
    </row>
    <row r="73" spans="2:6" x14ac:dyDescent="0.45">
      <c r="B73" s="10" t="s">
        <v>205</v>
      </c>
      <c r="C73">
        <v>3</v>
      </c>
      <c r="D73">
        <v>2</v>
      </c>
      <c r="E73">
        <v>-1</v>
      </c>
      <c r="F73" t="s">
        <v>592</v>
      </c>
    </row>
    <row r="74" spans="2:6" x14ac:dyDescent="0.45">
      <c r="B74" s="10" t="s">
        <v>215</v>
      </c>
      <c r="C74">
        <v>2</v>
      </c>
      <c r="D74">
        <v>1</v>
      </c>
      <c r="E74">
        <v>-1</v>
      </c>
      <c r="F74" t="s">
        <v>592</v>
      </c>
    </row>
    <row r="75" spans="2:6" x14ac:dyDescent="0.45">
      <c r="B75" s="10" t="s">
        <v>213</v>
      </c>
      <c r="C75">
        <v>5</v>
      </c>
      <c r="D75">
        <v>2</v>
      </c>
      <c r="E75">
        <v>-3</v>
      </c>
      <c r="F75" t="s">
        <v>592</v>
      </c>
    </row>
    <row r="76" spans="2:6" x14ac:dyDescent="0.45">
      <c r="B76" s="10" t="s">
        <v>218</v>
      </c>
      <c r="C76">
        <v>8</v>
      </c>
      <c r="D76">
        <v>4</v>
      </c>
      <c r="E76">
        <v>-4</v>
      </c>
      <c r="F76" t="s">
        <v>592</v>
      </c>
    </row>
    <row r="77" spans="2:6" x14ac:dyDescent="0.45">
      <c r="B77" s="10" t="s">
        <v>219</v>
      </c>
      <c r="C77">
        <v>4</v>
      </c>
      <c r="D77">
        <v>0</v>
      </c>
      <c r="E77">
        <v>-4</v>
      </c>
      <c r="F77" t="s">
        <v>592</v>
      </c>
    </row>
    <row r="78" spans="2:6" x14ac:dyDescent="0.45">
      <c r="B78" s="10" t="s">
        <v>203</v>
      </c>
      <c r="C78">
        <v>6</v>
      </c>
      <c r="D78">
        <v>2</v>
      </c>
      <c r="E78">
        <v>-4</v>
      </c>
      <c r="F78" t="s">
        <v>592</v>
      </c>
    </row>
    <row r="79" spans="2:6" x14ac:dyDescent="0.45">
      <c r="B79" s="10" t="s">
        <v>204</v>
      </c>
      <c r="C79">
        <v>6</v>
      </c>
      <c r="D79">
        <v>1</v>
      </c>
      <c r="E79">
        <v>-5</v>
      </c>
      <c r="F79" t="s">
        <v>592</v>
      </c>
    </row>
    <row r="80" spans="2:6" x14ac:dyDescent="0.45">
      <c r="B80" s="10" t="s">
        <v>206</v>
      </c>
      <c r="C80">
        <v>33</v>
      </c>
      <c r="D80">
        <v>18</v>
      </c>
      <c r="E80">
        <v>-15</v>
      </c>
      <c r="F80" t="s">
        <v>592</v>
      </c>
    </row>
    <row r="81" spans="2:5" x14ac:dyDescent="0.45">
      <c r="B81" s="8" t="s">
        <v>19</v>
      </c>
      <c r="C81">
        <v>64</v>
      </c>
      <c r="D81">
        <v>52</v>
      </c>
      <c r="E81">
        <v>-12</v>
      </c>
    </row>
    <row r="82" spans="2:5" x14ac:dyDescent="0.45">
      <c r="B82" s="10" t="s">
        <v>132</v>
      </c>
      <c r="C82">
        <v>1</v>
      </c>
      <c r="D82">
        <v>5</v>
      </c>
      <c r="E82">
        <v>4</v>
      </c>
    </row>
    <row r="83" spans="2:5" x14ac:dyDescent="0.45">
      <c r="B83" s="10" t="s">
        <v>150</v>
      </c>
      <c r="C83">
        <v>0</v>
      </c>
      <c r="D83">
        <v>3</v>
      </c>
      <c r="E83">
        <v>3</v>
      </c>
    </row>
    <row r="84" spans="2:5" x14ac:dyDescent="0.45">
      <c r="B84" s="10" t="s">
        <v>147</v>
      </c>
      <c r="C84">
        <v>0</v>
      </c>
      <c r="D84">
        <v>2</v>
      </c>
      <c r="E84">
        <v>2</v>
      </c>
    </row>
    <row r="85" spans="2:5" x14ac:dyDescent="0.45">
      <c r="B85" s="10" t="s">
        <v>136</v>
      </c>
      <c r="C85">
        <v>14</v>
      </c>
      <c r="D85">
        <v>16</v>
      </c>
      <c r="E85">
        <v>2</v>
      </c>
    </row>
    <row r="86" spans="2:5" x14ac:dyDescent="0.45">
      <c r="B86" s="10" t="s">
        <v>143</v>
      </c>
      <c r="C86">
        <v>0</v>
      </c>
      <c r="D86">
        <v>2</v>
      </c>
      <c r="E86">
        <v>2</v>
      </c>
    </row>
    <row r="87" spans="2:5" x14ac:dyDescent="0.45">
      <c r="B87" s="10" t="s">
        <v>148</v>
      </c>
      <c r="C87">
        <v>1</v>
      </c>
      <c r="D87">
        <v>2</v>
      </c>
      <c r="E87">
        <v>1</v>
      </c>
    </row>
    <row r="88" spans="2:5" x14ac:dyDescent="0.45">
      <c r="B88" s="10" t="s">
        <v>154</v>
      </c>
      <c r="C88">
        <v>0</v>
      </c>
      <c r="D88">
        <v>1</v>
      </c>
      <c r="E88">
        <v>1</v>
      </c>
    </row>
    <row r="89" spans="2:5" x14ac:dyDescent="0.45">
      <c r="B89" s="10" t="s">
        <v>152</v>
      </c>
      <c r="C89">
        <v>0</v>
      </c>
      <c r="D89">
        <v>1</v>
      </c>
      <c r="E89">
        <v>1</v>
      </c>
    </row>
    <row r="90" spans="2:5" x14ac:dyDescent="0.45">
      <c r="B90" s="10" t="s">
        <v>134</v>
      </c>
      <c r="C90">
        <v>1</v>
      </c>
      <c r="D90">
        <v>2</v>
      </c>
      <c r="E90">
        <v>1</v>
      </c>
    </row>
    <row r="91" spans="2:5" x14ac:dyDescent="0.45">
      <c r="B91" s="10" t="s">
        <v>131</v>
      </c>
      <c r="C91">
        <v>0</v>
      </c>
      <c r="D91">
        <v>1</v>
      </c>
      <c r="E91">
        <v>1</v>
      </c>
    </row>
    <row r="92" spans="2:5" x14ac:dyDescent="0.45">
      <c r="B92" s="10" t="s">
        <v>159</v>
      </c>
      <c r="C92">
        <v>0</v>
      </c>
      <c r="D92">
        <v>1</v>
      </c>
      <c r="E92">
        <v>1</v>
      </c>
    </row>
    <row r="93" spans="2:5" x14ac:dyDescent="0.45">
      <c r="B93" s="10" t="s">
        <v>157</v>
      </c>
      <c r="C93">
        <v>1</v>
      </c>
      <c r="D93">
        <v>1</v>
      </c>
      <c r="E93">
        <v>0</v>
      </c>
    </row>
    <row r="94" spans="2:5" x14ac:dyDescent="0.45">
      <c r="B94" s="10" t="s">
        <v>144</v>
      </c>
      <c r="C94">
        <v>2</v>
      </c>
      <c r="D94">
        <v>2</v>
      </c>
      <c r="E94">
        <v>0</v>
      </c>
    </row>
    <row r="95" spans="2:5" x14ac:dyDescent="0.45">
      <c r="B95" s="10" t="s">
        <v>151</v>
      </c>
      <c r="C95">
        <v>1</v>
      </c>
      <c r="D95">
        <v>1</v>
      </c>
      <c r="E95">
        <v>0</v>
      </c>
    </row>
    <row r="96" spans="2:5" x14ac:dyDescent="0.45">
      <c r="B96" s="10" t="s">
        <v>128</v>
      </c>
      <c r="C96">
        <v>1</v>
      </c>
      <c r="D96">
        <v>1</v>
      </c>
      <c r="E96">
        <v>0</v>
      </c>
    </row>
    <row r="97" spans="2:5" x14ac:dyDescent="0.45">
      <c r="B97" s="10" t="s">
        <v>149</v>
      </c>
      <c r="C97">
        <v>0</v>
      </c>
      <c r="D97">
        <v>0</v>
      </c>
      <c r="E97">
        <v>0</v>
      </c>
    </row>
    <row r="98" spans="2:5" x14ac:dyDescent="0.45">
      <c r="B98" s="10" t="s">
        <v>156</v>
      </c>
      <c r="C98">
        <v>1</v>
      </c>
      <c r="D98">
        <v>0</v>
      </c>
      <c r="E98">
        <v>-1</v>
      </c>
    </row>
    <row r="99" spans="2:5" x14ac:dyDescent="0.45">
      <c r="B99" s="10" t="s">
        <v>153</v>
      </c>
      <c r="C99">
        <v>1</v>
      </c>
      <c r="D99">
        <v>0</v>
      </c>
      <c r="E99">
        <v>-1</v>
      </c>
    </row>
    <row r="100" spans="2:5" x14ac:dyDescent="0.45">
      <c r="B100" s="10" t="s">
        <v>137</v>
      </c>
      <c r="C100">
        <v>1</v>
      </c>
      <c r="D100">
        <v>0</v>
      </c>
      <c r="E100">
        <v>-1</v>
      </c>
    </row>
    <row r="101" spans="2:5" x14ac:dyDescent="0.45">
      <c r="B101" s="10" t="s">
        <v>141</v>
      </c>
      <c r="C101">
        <v>1</v>
      </c>
      <c r="D101">
        <v>0</v>
      </c>
      <c r="E101">
        <v>-1</v>
      </c>
    </row>
    <row r="102" spans="2:5" x14ac:dyDescent="0.45">
      <c r="B102" s="10" t="s">
        <v>140</v>
      </c>
      <c r="C102">
        <v>1</v>
      </c>
      <c r="D102">
        <v>0</v>
      </c>
      <c r="E102">
        <v>-1</v>
      </c>
    </row>
    <row r="103" spans="2:5" x14ac:dyDescent="0.45">
      <c r="B103" s="10" t="s">
        <v>129</v>
      </c>
      <c r="C103">
        <v>1</v>
      </c>
      <c r="D103">
        <v>0</v>
      </c>
      <c r="E103">
        <v>-1</v>
      </c>
    </row>
    <row r="104" spans="2:5" x14ac:dyDescent="0.45">
      <c r="B104" s="10" t="s">
        <v>130</v>
      </c>
      <c r="C104">
        <v>1</v>
      </c>
      <c r="D104">
        <v>0</v>
      </c>
      <c r="E104">
        <v>-1</v>
      </c>
    </row>
    <row r="105" spans="2:5" x14ac:dyDescent="0.45">
      <c r="B105" s="10" t="s">
        <v>135</v>
      </c>
      <c r="C105">
        <v>3</v>
      </c>
      <c r="D105">
        <v>2</v>
      </c>
      <c r="E105">
        <v>-1</v>
      </c>
    </row>
    <row r="106" spans="2:5" x14ac:dyDescent="0.45">
      <c r="B106" s="10" t="s">
        <v>145</v>
      </c>
      <c r="C106">
        <v>1</v>
      </c>
      <c r="D106">
        <v>0</v>
      </c>
      <c r="E106">
        <v>-1</v>
      </c>
    </row>
    <row r="107" spans="2:5" x14ac:dyDescent="0.45">
      <c r="B107" s="10" t="s">
        <v>146</v>
      </c>
      <c r="C107">
        <v>1</v>
      </c>
      <c r="D107">
        <v>0</v>
      </c>
      <c r="E107">
        <v>-1</v>
      </c>
    </row>
    <row r="108" spans="2:5" x14ac:dyDescent="0.45">
      <c r="B108" s="10" t="s">
        <v>158</v>
      </c>
      <c r="C108">
        <v>2</v>
      </c>
      <c r="D108">
        <v>0</v>
      </c>
      <c r="E108">
        <v>-2</v>
      </c>
    </row>
    <row r="109" spans="2:5" x14ac:dyDescent="0.45">
      <c r="B109" s="10" t="s">
        <v>139</v>
      </c>
      <c r="C109">
        <v>10</v>
      </c>
      <c r="D109">
        <v>7</v>
      </c>
      <c r="E109">
        <v>-3</v>
      </c>
    </row>
    <row r="110" spans="2:5" x14ac:dyDescent="0.45">
      <c r="B110" s="10" t="s">
        <v>155</v>
      </c>
      <c r="C110">
        <v>4</v>
      </c>
      <c r="D110">
        <v>1</v>
      </c>
      <c r="E110">
        <v>-3</v>
      </c>
    </row>
    <row r="111" spans="2:5" x14ac:dyDescent="0.45">
      <c r="B111" s="10" t="s">
        <v>142</v>
      </c>
      <c r="C111">
        <v>4</v>
      </c>
      <c r="D111">
        <v>0</v>
      </c>
      <c r="E111">
        <v>-4</v>
      </c>
    </row>
    <row r="112" spans="2:5" x14ac:dyDescent="0.45">
      <c r="B112" s="10" t="s">
        <v>133</v>
      </c>
      <c r="C112">
        <v>5</v>
      </c>
      <c r="D112">
        <v>1</v>
      </c>
      <c r="E112">
        <v>-4</v>
      </c>
    </row>
    <row r="113" spans="1:5" x14ac:dyDescent="0.45">
      <c r="B113" s="10" t="s">
        <v>138</v>
      </c>
      <c r="C113">
        <v>5</v>
      </c>
      <c r="D113">
        <v>0</v>
      </c>
      <c r="E113">
        <v>-5</v>
      </c>
    </row>
    <row r="114" spans="1:5" x14ac:dyDescent="0.45">
      <c r="B114" s="7" t="s">
        <v>35</v>
      </c>
      <c r="C114">
        <v>1834</v>
      </c>
      <c r="D114">
        <v>1861</v>
      </c>
      <c r="E114">
        <v>27</v>
      </c>
    </row>
    <row r="115" spans="1:5" x14ac:dyDescent="0.45">
      <c r="B115" s="9" t="s">
        <v>39</v>
      </c>
      <c r="C115" s="4">
        <v>564</v>
      </c>
      <c r="D115" s="4">
        <v>608</v>
      </c>
      <c r="E115" s="4">
        <v>44</v>
      </c>
    </row>
    <row r="116" spans="1:5" x14ac:dyDescent="0.45">
      <c r="A116" t="s">
        <v>594</v>
      </c>
      <c r="B116" s="11" t="s">
        <v>337</v>
      </c>
      <c r="C116" s="12">
        <v>135</v>
      </c>
      <c r="D116" s="12">
        <v>178</v>
      </c>
      <c r="E116" s="12">
        <v>43</v>
      </c>
    </row>
    <row r="117" spans="1:5" x14ac:dyDescent="0.45">
      <c r="B117" s="11" t="s">
        <v>317</v>
      </c>
      <c r="C117" s="12">
        <v>35</v>
      </c>
      <c r="D117" s="12">
        <v>53</v>
      </c>
      <c r="E117" s="12">
        <v>18</v>
      </c>
    </row>
    <row r="118" spans="1:5" x14ac:dyDescent="0.45">
      <c r="B118" s="10" t="s">
        <v>336</v>
      </c>
      <c r="C118">
        <v>7</v>
      </c>
      <c r="D118">
        <v>16</v>
      </c>
      <c r="E118">
        <v>9</v>
      </c>
    </row>
    <row r="119" spans="1:5" x14ac:dyDescent="0.45">
      <c r="B119" s="10" t="s">
        <v>319</v>
      </c>
      <c r="C119">
        <v>10</v>
      </c>
      <c r="D119">
        <v>17</v>
      </c>
      <c r="E119">
        <v>7</v>
      </c>
    </row>
    <row r="120" spans="1:5" x14ac:dyDescent="0.45">
      <c r="B120" s="10" t="s">
        <v>343</v>
      </c>
      <c r="C120">
        <v>2</v>
      </c>
      <c r="D120">
        <v>8</v>
      </c>
      <c r="E120">
        <v>6</v>
      </c>
    </row>
    <row r="121" spans="1:5" x14ac:dyDescent="0.45">
      <c r="B121" s="10" t="s">
        <v>314</v>
      </c>
      <c r="C121">
        <v>10</v>
      </c>
      <c r="D121">
        <v>15</v>
      </c>
      <c r="E121">
        <v>5</v>
      </c>
    </row>
    <row r="122" spans="1:5" x14ac:dyDescent="0.45">
      <c r="B122" s="10" t="s">
        <v>346</v>
      </c>
      <c r="C122">
        <v>4</v>
      </c>
      <c r="D122">
        <v>9</v>
      </c>
      <c r="E122">
        <v>5</v>
      </c>
    </row>
    <row r="123" spans="1:5" x14ac:dyDescent="0.45">
      <c r="B123" s="10" t="s">
        <v>342</v>
      </c>
      <c r="C123">
        <v>36</v>
      </c>
      <c r="D123">
        <v>41</v>
      </c>
      <c r="E123">
        <v>5</v>
      </c>
    </row>
    <row r="124" spans="1:5" x14ac:dyDescent="0.45">
      <c r="B124" s="10" t="s">
        <v>310</v>
      </c>
      <c r="C124">
        <v>1</v>
      </c>
      <c r="D124">
        <v>6</v>
      </c>
      <c r="E124">
        <v>5</v>
      </c>
    </row>
    <row r="125" spans="1:5" x14ac:dyDescent="0.45">
      <c r="B125" s="10" t="s">
        <v>332</v>
      </c>
      <c r="C125">
        <v>21</v>
      </c>
      <c r="D125">
        <v>24</v>
      </c>
      <c r="E125">
        <v>3</v>
      </c>
    </row>
    <row r="126" spans="1:5" x14ac:dyDescent="0.45">
      <c r="B126" s="10" t="s">
        <v>331</v>
      </c>
      <c r="C126">
        <v>0</v>
      </c>
      <c r="D126">
        <v>3</v>
      </c>
      <c r="E126">
        <v>3</v>
      </c>
    </row>
    <row r="127" spans="1:5" x14ac:dyDescent="0.45">
      <c r="B127" s="10" t="s">
        <v>329</v>
      </c>
      <c r="C127">
        <v>9</v>
      </c>
      <c r="D127">
        <v>12</v>
      </c>
      <c r="E127">
        <v>3</v>
      </c>
    </row>
    <row r="128" spans="1:5" x14ac:dyDescent="0.45">
      <c r="B128" s="10" t="s">
        <v>325</v>
      </c>
      <c r="C128">
        <v>3</v>
      </c>
      <c r="D128">
        <v>6</v>
      </c>
      <c r="E128">
        <v>3</v>
      </c>
    </row>
    <row r="129" spans="2:5" x14ac:dyDescent="0.45">
      <c r="B129" s="10" t="s">
        <v>318</v>
      </c>
      <c r="C129">
        <v>0</v>
      </c>
      <c r="D129">
        <v>2</v>
      </c>
      <c r="E129">
        <v>2</v>
      </c>
    </row>
    <row r="130" spans="2:5" x14ac:dyDescent="0.45">
      <c r="B130" s="10" t="s">
        <v>330</v>
      </c>
      <c r="C130">
        <v>2</v>
      </c>
      <c r="D130">
        <v>4</v>
      </c>
      <c r="E130">
        <v>2</v>
      </c>
    </row>
    <row r="131" spans="2:5" x14ac:dyDescent="0.45">
      <c r="B131" s="10" t="s">
        <v>323</v>
      </c>
      <c r="C131">
        <v>1</v>
      </c>
      <c r="D131">
        <v>2</v>
      </c>
      <c r="E131">
        <v>1</v>
      </c>
    </row>
    <row r="132" spans="2:5" x14ac:dyDescent="0.45">
      <c r="B132" s="10" t="s">
        <v>313</v>
      </c>
      <c r="C132">
        <v>0</v>
      </c>
      <c r="D132">
        <v>1</v>
      </c>
      <c r="E132">
        <v>1</v>
      </c>
    </row>
    <row r="133" spans="2:5" x14ac:dyDescent="0.45">
      <c r="B133" s="10" t="s">
        <v>326</v>
      </c>
      <c r="C133">
        <v>1</v>
      </c>
      <c r="D133">
        <v>2</v>
      </c>
      <c r="E133">
        <v>1</v>
      </c>
    </row>
    <row r="134" spans="2:5" x14ac:dyDescent="0.45">
      <c r="B134" s="10" t="s">
        <v>327</v>
      </c>
      <c r="C134">
        <v>26</v>
      </c>
      <c r="D134">
        <v>27</v>
      </c>
      <c r="E134">
        <v>1</v>
      </c>
    </row>
    <row r="135" spans="2:5" x14ac:dyDescent="0.45">
      <c r="B135" s="10" t="s">
        <v>328</v>
      </c>
      <c r="C135">
        <v>1</v>
      </c>
      <c r="D135">
        <v>2</v>
      </c>
      <c r="E135">
        <v>1</v>
      </c>
    </row>
    <row r="136" spans="2:5" x14ac:dyDescent="0.45">
      <c r="B136" s="10" t="s">
        <v>322</v>
      </c>
      <c r="C136">
        <v>35</v>
      </c>
      <c r="D136">
        <v>35</v>
      </c>
      <c r="E136">
        <v>0</v>
      </c>
    </row>
    <row r="137" spans="2:5" x14ac:dyDescent="0.45">
      <c r="B137" s="10" t="s">
        <v>312</v>
      </c>
      <c r="C137">
        <v>1</v>
      </c>
      <c r="D137">
        <v>1</v>
      </c>
      <c r="E137">
        <v>0</v>
      </c>
    </row>
    <row r="138" spans="2:5" x14ac:dyDescent="0.45">
      <c r="B138" s="10" t="s">
        <v>316</v>
      </c>
      <c r="C138">
        <v>1</v>
      </c>
      <c r="D138">
        <v>1</v>
      </c>
      <c r="E138">
        <v>0</v>
      </c>
    </row>
    <row r="139" spans="2:5" x14ac:dyDescent="0.45">
      <c r="B139" s="10" t="s">
        <v>341</v>
      </c>
      <c r="C139">
        <v>6</v>
      </c>
      <c r="D139">
        <v>5</v>
      </c>
      <c r="E139">
        <v>-1</v>
      </c>
    </row>
    <row r="140" spans="2:5" x14ac:dyDescent="0.45">
      <c r="B140" s="10" t="s">
        <v>324</v>
      </c>
      <c r="C140">
        <v>12</v>
      </c>
      <c r="D140">
        <v>11</v>
      </c>
      <c r="E140">
        <v>-1</v>
      </c>
    </row>
    <row r="141" spans="2:5" x14ac:dyDescent="0.45">
      <c r="B141" s="10" t="s">
        <v>338</v>
      </c>
      <c r="C141">
        <v>3</v>
      </c>
      <c r="D141">
        <v>2</v>
      </c>
      <c r="E141">
        <v>-1</v>
      </c>
    </row>
    <row r="142" spans="2:5" x14ac:dyDescent="0.45">
      <c r="B142" s="10" t="s">
        <v>315</v>
      </c>
      <c r="C142">
        <v>5</v>
      </c>
      <c r="D142">
        <v>3</v>
      </c>
      <c r="E142">
        <v>-2</v>
      </c>
    </row>
    <row r="143" spans="2:5" x14ac:dyDescent="0.45">
      <c r="B143" s="10" t="s">
        <v>335</v>
      </c>
      <c r="C143">
        <v>10</v>
      </c>
      <c r="D143">
        <v>8</v>
      </c>
      <c r="E143">
        <v>-2</v>
      </c>
    </row>
    <row r="144" spans="2:5" x14ac:dyDescent="0.45">
      <c r="B144" s="10" t="s">
        <v>320</v>
      </c>
      <c r="C144">
        <v>3</v>
      </c>
      <c r="D144">
        <v>0</v>
      </c>
      <c r="E144">
        <v>-3</v>
      </c>
    </row>
    <row r="145" spans="1:6" x14ac:dyDescent="0.45">
      <c r="B145" s="10" t="s">
        <v>311</v>
      </c>
      <c r="C145">
        <v>4</v>
      </c>
      <c r="D145">
        <v>1</v>
      </c>
      <c r="E145">
        <v>-3</v>
      </c>
    </row>
    <row r="146" spans="1:6" x14ac:dyDescent="0.45">
      <c r="B146" s="10" t="s">
        <v>321</v>
      </c>
      <c r="C146">
        <v>5</v>
      </c>
      <c r="D146">
        <v>2</v>
      </c>
      <c r="E146">
        <v>-3</v>
      </c>
    </row>
    <row r="147" spans="1:6" x14ac:dyDescent="0.45">
      <c r="B147" s="10" t="s">
        <v>340</v>
      </c>
      <c r="C147">
        <v>4</v>
      </c>
      <c r="D147">
        <v>0</v>
      </c>
      <c r="E147">
        <v>-4</v>
      </c>
    </row>
    <row r="148" spans="1:6" x14ac:dyDescent="0.45">
      <c r="B148" s="10" t="s">
        <v>339</v>
      </c>
      <c r="C148">
        <v>11</v>
      </c>
      <c r="D148">
        <v>6</v>
      </c>
      <c r="E148">
        <v>-5</v>
      </c>
    </row>
    <row r="149" spans="1:6" x14ac:dyDescent="0.45">
      <c r="B149" s="10" t="s">
        <v>333</v>
      </c>
      <c r="C149">
        <v>8</v>
      </c>
      <c r="D149">
        <v>3</v>
      </c>
      <c r="E149">
        <v>-5</v>
      </c>
    </row>
    <row r="150" spans="1:6" x14ac:dyDescent="0.45">
      <c r="B150" s="10" t="s">
        <v>345</v>
      </c>
      <c r="C150">
        <v>15</v>
      </c>
      <c r="D150">
        <v>8</v>
      </c>
      <c r="E150">
        <v>-7</v>
      </c>
    </row>
    <row r="151" spans="1:6" x14ac:dyDescent="0.45">
      <c r="B151" s="10" t="s">
        <v>344</v>
      </c>
      <c r="C151">
        <v>28</v>
      </c>
      <c r="D151">
        <v>19</v>
      </c>
      <c r="E151">
        <v>-9</v>
      </c>
    </row>
    <row r="152" spans="1:6" x14ac:dyDescent="0.45">
      <c r="B152" s="10" t="s">
        <v>334</v>
      </c>
      <c r="C152">
        <v>42</v>
      </c>
      <c r="D152">
        <v>26</v>
      </c>
      <c r="E152">
        <v>-16</v>
      </c>
    </row>
    <row r="153" spans="1:6" x14ac:dyDescent="0.45">
      <c r="A153" t="s">
        <v>594</v>
      </c>
      <c r="B153" s="10" t="s">
        <v>347</v>
      </c>
      <c r="C153">
        <v>67</v>
      </c>
      <c r="D153">
        <v>49</v>
      </c>
      <c r="E153">
        <v>-18</v>
      </c>
    </row>
    <row r="154" spans="1:6" x14ac:dyDescent="0.45">
      <c r="B154" s="9" t="s">
        <v>41</v>
      </c>
      <c r="C154" s="4">
        <v>852</v>
      </c>
      <c r="D154" s="4">
        <v>876</v>
      </c>
      <c r="E154" s="4">
        <v>24</v>
      </c>
    </row>
    <row r="155" spans="1:6" x14ac:dyDescent="0.45">
      <c r="A155" t="s">
        <v>594</v>
      </c>
      <c r="B155" s="11" t="s">
        <v>352</v>
      </c>
      <c r="C155" s="12">
        <v>212</v>
      </c>
      <c r="D155" s="12">
        <v>257</v>
      </c>
      <c r="E155" s="12">
        <v>45</v>
      </c>
      <c r="F155" t="s">
        <v>592</v>
      </c>
    </row>
    <row r="156" spans="1:6" x14ac:dyDescent="0.45">
      <c r="B156" s="10" t="s">
        <v>355</v>
      </c>
      <c r="C156">
        <v>141</v>
      </c>
      <c r="D156">
        <v>148</v>
      </c>
      <c r="E156">
        <v>7</v>
      </c>
    </row>
    <row r="157" spans="1:6" x14ac:dyDescent="0.45">
      <c r="B157" s="10" t="s">
        <v>357</v>
      </c>
      <c r="C157">
        <v>98</v>
      </c>
      <c r="D157">
        <v>103</v>
      </c>
      <c r="E157">
        <v>5</v>
      </c>
    </row>
    <row r="158" spans="1:6" x14ac:dyDescent="0.45">
      <c r="B158" s="10" t="s">
        <v>349</v>
      </c>
      <c r="C158">
        <v>52</v>
      </c>
      <c r="D158">
        <v>56</v>
      </c>
      <c r="E158">
        <v>4</v>
      </c>
    </row>
    <row r="159" spans="1:6" x14ac:dyDescent="0.45">
      <c r="B159" s="10" t="s">
        <v>353</v>
      </c>
      <c r="C159">
        <v>62</v>
      </c>
      <c r="D159">
        <v>66</v>
      </c>
      <c r="E159">
        <v>4</v>
      </c>
    </row>
    <row r="160" spans="1:6" x14ac:dyDescent="0.45">
      <c r="B160" s="10" t="s">
        <v>356</v>
      </c>
      <c r="C160">
        <v>5</v>
      </c>
      <c r="D160">
        <v>7</v>
      </c>
      <c r="E160">
        <v>2</v>
      </c>
    </row>
    <row r="161" spans="2:6" x14ac:dyDescent="0.45">
      <c r="B161" s="10" t="s">
        <v>351</v>
      </c>
      <c r="C161">
        <v>5</v>
      </c>
      <c r="D161">
        <v>6</v>
      </c>
      <c r="E161">
        <v>1</v>
      </c>
    </row>
    <row r="162" spans="2:6" x14ac:dyDescent="0.45">
      <c r="B162" s="10" t="s">
        <v>350</v>
      </c>
      <c r="C162">
        <v>155</v>
      </c>
      <c r="D162">
        <v>155</v>
      </c>
      <c r="E162">
        <v>0</v>
      </c>
      <c r="F162" t="s">
        <v>592</v>
      </c>
    </row>
    <row r="163" spans="2:6" x14ac:dyDescent="0.45">
      <c r="B163" s="10" t="s">
        <v>354</v>
      </c>
      <c r="C163">
        <v>122</v>
      </c>
      <c r="D163">
        <v>78</v>
      </c>
      <c r="E163">
        <v>-44</v>
      </c>
    </row>
    <row r="164" spans="2:6" x14ac:dyDescent="0.45">
      <c r="B164" s="9" t="s">
        <v>36</v>
      </c>
      <c r="C164" s="4">
        <v>141</v>
      </c>
      <c r="D164" s="4">
        <v>149</v>
      </c>
      <c r="E164" s="4">
        <v>8</v>
      </c>
    </row>
    <row r="165" spans="2:6" x14ac:dyDescent="0.45">
      <c r="B165" s="10" t="s">
        <v>285</v>
      </c>
      <c r="C165">
        <v>34</v>
      </c>
      <c r="D165">
        <v>43</v>
      </c>
      <c r="E165">
        <v>9</v>
      </c>
    </row>
    <row r="166" spans="2:6" x14ac:dyDescent="0.45">
      <c r="B166" s="10" t="s">
        <v>290</v>
      </c>
      <c r="C166">
        <v>4</v>
      </c>
      <c r="D166">
        <v>9</v>
      </c>
      <c r="E166">
        <v>5</v>
      </c>
    </row>
    <row r="167" spans="2:6" x14ac:dyDescent="0.45">
      <c r="B167" s="10" t="s">
        <v>284</v>
      </c>
      <c r="C167">
        <v>3</v>
      </c>
      <c r="D167">
        <v>6</v>
      </c>
      <c r="E167">
        <v>3</v>
      </c>
    </row>
    <row r="168" spans="2:6" x14ac:dyDescent="0.45">
      <c r="B168" s="10" t="s">
        <v>286</v>
      </c>
      <c r="C168">
        <v>9</v>
      </c>
      <c r="D168">
        <v>11</v>
      </c>
      <c r="E168">
        <v>2</v>
      </c>
    </row>
    <row r="169" spans="2:6" x14ac:dyDescent="0.45">
      <c r="B169" s="10" t="s">
        <v>287</v>
      </c>
      <c r="C169">
        <v>2</v>
      </c>
      <c r="D169">
        <v>3</v>
      </c>
      <c r="E169">
        <v>1</v>
      </c>
    </row>
    <row r="170" spans="2:6" x14ac:dyDescent="0.45">
      <c r="B170" s="10" t="s">
        <v>288</v>
      </c>
      <c r="C170">
        <v>2</v>
      </c>
      <c r="D170">
        <v>2</v>
      </c>
      <c r="E170">
        <v>0</v>
      </c>
    </row>
    <row r="171" spans="2:6" x14ac:dyDescent="0.45">
      <c r="B171" s="10" t="s">
        <v>291</v>
      </c>
      <c r="C171">
        <v>30</v>
      </c>
      <c r="D171">
        <v>29</v>
      </c>
      <c r="E171">
        <v>-1</v>
      </c>
    </row>
    <row r="172" spans="2:6" x14ac:dyDescent="0.45">
      <c r="B172" s="10" t="s">
        <v>283</v>
      </c>
      <c r="C172">
        <v>11</v>
      </c>
      <c r="D172">
        <v>9</v>
      </c>
      <c r="E172">
        <v>-2</v>
      </c>
    </row>
    <row r="173" spans="2:6" x14ac:dyDescent="0.45">
      <c r="B173" s="10" t="s">
        <v>289</v>
      </c>
      <c r="C173">
        <v>46</v>
      </c>
      <c r="D173">
        <v>37</v>
      </c>
      <c r="E173">
        <v>-9</v>
      </c>
    </row>
    <row r="174" spans="2:6" x14ac:dyDescent="0.45">
      <c r="B174" s="9" t="s">
        <v>38</v>
      </c>
      <c r="C174" s="4">
        <v>44</v>
      </c>
      <c r="D174" s="4">
        <v>45</v>
      </c>
      <c r="E174" s="4">
        <v>1</v>
      </c>
    </row>
    <row r="175" spans="2:6" x14ac:dyDescent="0.45">
      <c r="B175" s="10" t="s">
        <v>307</v>
      </c>
      <c r="C175">
        <v>6</v>
      </c>
      <c r="D175">
        <v>11</v>
      </c>
      <c r="E175">
        <v>5</v>
      </c>
    </row>
    <row r="176" spans="2:6" x14ac:dyDescent="0.45">
      <c r="B176" s="10" t="s">
        <v>306</v>
      </c>
      <c r="C176">
        <v>9</v>
      </c>
      <c r="D176">
        <v>11</v>
      </c>
      <c r="E176">
        <v>2</v>
      </c>
    </row>
    <row r="177" spans="2:5" x14ac:dyDescent="0.45">
      <c r="B177" s="10" t="s">
        <v>309</v>
      </c>
      <c r="C177">
        <v>22</v>
      </c>
      <c r="D177">
        <v>22</v>
      </c>
      <c r="E177">
        <v>0</v>
      </c>
    </row>
    <row r="178" spans="2:5" x14ac:dyDescent="0.45">
      <c r="B178" s="10" t="s">
        <v>308</v>
      </c>
      <c r="C178">
        <v>2</v>
      </c>
      <c r="D178">
        <v>0</v>
      </c>
      <c r="E178">
        <v>-2</v>
      </c>
    </row>
    <row r="179" spans="2:5" x14ac:dyDescent="0.45">
      <c r="B179" s="10" t="s">
        <v>304</v>
      </c>
      <c r="C179">
        <v>3</v>
      </c>
      <c r="D179">
        <v>1</v>
      </c>
      <c r="E179">
        <v>-2</v>
      </c>
    </row>
    <row r="180" spans="2:5" x14ac:dyDescent="0.45">
      <c r="B180" s="10" t="s">
        <v>305</v>
      </c>
      <c r="C180">
        <v>2</v>
      </c>
      <c r="D180">
        <v>0</v>
      </c>
      <c r="E180">
        <v>-2</v>
      </c>
    </row>
    <row r="181" spans="2:5" x14ac:dyDescent="0.45">
      <c r="B181" s="8" t="s">
        <v>40</v>
      </c>
      <c r="C181">
        <v>6</v>
      </c>
      <c r="D181">
        <v>1</v>
      </c>
      <c r="E181">
        <v>-5</v>
      </c>
    </row>
    <row r="182" spans="2:5" x14ac:dyDescent="0.45">
      <c r="B182" s="10" t="s">
        <v>348</v>
      </c>
      <c r="C182">
        <v>6</v>
      </c>
      <c r="D182">
        <v>1</v>
      </c>
      <c r="E182">
        <v>-5</v>
      </c>
    </row>
    <row r="183" spans="2:5" x14ac:dyDescent="0.45">
      <c r="B183" s="8" t="s">
        <v>42</v>
      </c>
      <c r="C183">
        <v>26</v>
      </c>
      <c r="D183">
        <v>20</v>
      </c>
      <c r="E183">
        <v>-6</v>
      </c>
    </row>
    <row r="184" spans="2:5" x14ac:dyDescent="0.45">
      <c r="B184" s="10" t="s">
        <v>368</v>
      </c>
      <c r="C184">
        <v>2</v>
      </c>
      <c r="D184">
        <v>4</v>
      </c>
      <c r="E184">
        <v>2</v>
      </c>
    </row>
    <row r="185" spans="2:5" x14ac:dyDescent="0.45">
      <c r="B185" s="10" t="s">
        <v>360</v>
      </c>
      <c r="C185">
        <v>1</v>
      </c>
      <c r="D185">
        <v>3</v>
      </c>
      <c r="E185">
        <v>2</v>
      </c>
    </row>
    <row r="186" spans="2:5" x14ac:dyDescent="0.45">
      <c r="B186" s="10" t="s">
        <v>359</v>
      </c>
      <c r="C186">
        <v>0</v>
      </c>
      <c r="D186">
        <v>1</v>
      </c>
      <c r="E186">
        <v>1</v>
      </c>
    </row>
    <row r="187" spans="2:5" x14ac:dyDescent="0.45">
      <c r="B187" s="10" t="s">
        <v>358</v>
      </c>
      <c r="C187">
        <v>0</v>
      </c>
      <c r="D187">
        <v>1</v>
      </c>
      <c r="E187">
        <v>1</v>
      </c>
    </row>
    <row r="188" spans="2:5" x14ac:dyDescent="0.45">
      <c r="B188" s="10" t="s">
        <v>366</v>
      </c>
      <c r="C188">
        <v>3</v>
      </c>
      <c r="D188">
        <v>3</v>
      </c>
      <c r="E188">
        <v>0</v>
      </c>
    </row>
    <row r="189" spans="2:5" x14ac:dyDescent="0.45">
      <c r="B189" s="10" t="s">
        <v>365</v>
      </c>
      <c r="C189">
        <v>1</v>
      </c>
      <c r="D189">
        <v>1</v>
      </c>
      <c r="E189">
        <v>0</v>
      </c>
    </row>
    <row r="190" spans="2:5" x14ac:dyDescent="0.45">
      <c r="B190" s="10" t="s">
        <v>362</v>
      </c>
      <c r="C190">
        <v>3</v>
      </c>
      <c r="D190">
        <v>2</v>
      </c>
      <c r="E190">
        <v>-1</v>
      </c>
    </row>
    <row r="191" spans="2:5" x14ac:dyDescent="0.45">
      <c r="B191" s="10" t="s">
        <v>367</v>
      </c>
      <c r="C191">
        <v>1</v>
      </c>
      <c r="D191">
        <v>0</v>
      </c>
      <c r="E191">
        <v>-1</v>
      </c>
    </row>
    <row r="192" spans="2:5" x14ac:dyDescent="0.45">
      <c r="B192" s="10" t="s">
        <v>369</v>
      </c>
      <c r="C192">
        <v>3</v>
      </c>
      <c r="D192">
        <v>2</v>
      </c>
      <c r="E192">
        <v>-1</v>
      </c>
    </row>
    <row r="193" spans="1:5" x14ac:dyDescent="0.45">
      <c r="B193" s="10" t="s">
        <v>361</v>
      </c>
      <c r="C193">
        <v>2</v>
      </c>
      <c r="D193">
        <v>0</v>
      </c>
      <c r="E193">
        <v>-2</v>
      </c>
    </row>
    <row r="194" spans="1:5" x14ac:dyDescent="0.45">
      <c r="B194" s="10" t="s">
        <v>364</v>
      </c>
      <c r="C194">
        <v>4</v>
      </c>
      <c r="D194">
        <v>1</v>
      </c>
      <c r="E194">
        <v>-3</v>
      </c>
    </row>
    <row r="195" spans="1:5" x14ac:dyDescent="0.45">
      <c r="B195" s="10" t="s">
        <v>363</v>
      </c>
      <c r="C195">
        <v>6</v>
      </c>
      <c r="D195">
        <v>2</v>
      </c>
      <c r="E195">
        <v>-4</v>
      </c>
    </row>
    <row r="196" spans="1:5" x14ac:dyDescent="0.45">
      <c r="B196" s="8" t="s">
        <v>43</v>
      </c>
      <c r="C196">
        <v>79</v>
      </c>
      <c r="D196">
        <v>64</v>
      </c>
      <c r="E196">
        <v>-15</v>
      </c>
    </row>
    <row r="197" spans="1:5" x14ac:dyDescent="0.45">
      <c r="B197" s="10" t="s">
        <v>370</v>
      </c>
      <c r="C197">
        <v>0</v>
      </c>
      <c r="D197">
        <v>4</v>
      </c>
      <c r="E197">
        <v>4</v>
      </c>
    </row>
    <row r="198" spans="1:5" x14ac:dyDescent="0.45">
      <c r="B198" s="10" t="s">
        <v>372</v>
      </c>
      <c r="C198">
        <v>8</v>
      </c>
      <c r="D198">
        <v>11</v>
      </c>
      <c r="E198">
        <v>3</v>
      </c>
    </row>
    <row r="199" spans="1:5" x14ac:dyDescent="0.45">
      <c r="B199" s="10" t="s">
        <v>373</v>
      </c>
      <c r="C199">
        <v>8</v>
      </c>
      <c r="D199">
        <v>7</v>
      </c>
      <c r="E199">
        <v>-1</v>
      </c>
    </row>
    <row r="200" spans="1:5" x14ac:dyDescent="0.45">
      <c r="A200" t="s">
        <v>594</v>
      </c>
      <c r="B200" s="10" t="s">
        <v>371</v>
      </c>
      <c r="C200">
        <v>63</v>
      </c>
      <c r="D200">
        <v>42</v>
      </c>
      <c r="E200">
        <v>-21</v>
      </c>
    </row>
    <row r="201" spans="1:5" x14ac:dyDescent="0.45">
      <c r="B201" s="8" t="s">
        <v>37</v>
      </c>
      <c r="C201">
        <v>122</v>
      </c>
      <c r="D201">
        <v>98</v>
      </c>
      <c r="E201">
        <v>-24</v>
      </c>
    </row>
    <row r="202" spans="1:5" x14ac:dyDescent="0.45">
      <c r="B202" s="10" t="s">
        <v>301</v>
      </c>
      <c r="C202">
        <v>5</v>
      </c>
      <c r="D202">
        <v>8</v>
      </c>
      <c r="E202">
        <v>3</v>
      </c>
    </row>
    <row r="203" spans="1:5" x14ac:dyDescent="0.45">
      <c r="B203" s="10" t="s">
        <v>302</v>
      </c>
      <c r="C203">
        <v>4</v>
      </c>
      <c r="D203">
        <v>6</v>
      </c>
      <c r="E203">
        <v>2</v>
      </c>
    </row>
    <row r="204" spans="1:5" x14ac:dyDescent="0.45">
      <c r="B204" s="10" t="s">
        <v>298</v>
      </c>
      <c r="C204">
        <v>4</v>
      </c>
      <c r="D204">
        <v>6</v>
      </c>
      <c r="E204">
        <v>2</v>
      </c>
    </row>
    <row r="205" spans="1:5" x14ac:dyDescent="0.45">
      <c r="B205" s="10" t="s">
        <v>295</v>
      </c>
      <c r="C205">
        <v>0</v>
      </c>
      <c r="D205">
        <v>2</v>
      </c>
      <c r="E205">
        <v>2</v>
      </c>
    </row>
    <row r="206" spans="1:5" x14ac:dyDescent="0.45">
      <c r="B206" s="10" t="s">
        <v>299</v>
      </c>
      <c r="C206">
        <v>3</v>
      </c>
      <c r="D206">
        <v>4</v>
      </c>
      <c r="E206">
        <v>1</v>
      </c>
    </row>
    <row r="207" spans="1:5" x14ac:dyDescent="0.45">
      <c r="B207" s="10" t="s">
        <v>293</v>
      </c>
      <c r="C207">
        <v>4</v>
      </c>
      <c r="D207">
        <v>5</v>
      </c>
      <c r="E207">
        <v>1</v>
      </c>
    </row>
    <row r="208" spans="1:5" x14ac:dyDescent="0.45">
      <c r="B208" s="10" t="s">
        <v>292</v>
      </c>
      <c r="C208">
        <v>4</v>
      </c>
      <c r="D208">
        <v>5</v>
      </c>
      <c r="E208">
        <v>1</v>
      </c>
    </row>
    <row r="209" spans="1:6" x14ac:dyDescent="0.45">
      <c r="B209" s="10" t="s">
        <v>297</v>
      </c>
      <c r="C209">
        <v>13</v>
      </c>
      <c r="D209">
        <v>14</v>
      </c>
      <c r="E209">
        <v>1</v>
      </c>
    </row>
    <row r="210" spans="1:6" x14ac:dyDescent="0.45">
      <c r="B210" s="10" t="s">
        <v>296</v>
      </c>
      <c r="C210">
        <v>3</v>
      </c>
      <c r="D210">
        <v>3</v>
      </c>
      <c r="E210">
        <v>0</v>
      </c>
    </row>
    <row r="211" spans="1:6" x14ac:dyDescent="0.45">
      <c r="B211" s="10" t="s">
        <v>303</v>
      </c>
      <c r="C211">
        <v>32</v>
      </c>
      <c r="D211">
        <v>25</v>
      </c>
      <c r="E211">
        <v>-7</v>
      </c>
    </row>
    <row r="212" spans="1:6" x14ac:dyDescent="0.45">
      <c r="A212" t="s">
        <v>594</v>
      </c>
      <c r="B212" s="10" t="s">
        <v>300</v>
      </c>
      <c r="C212">
        <v>18</v>
      </c>
      <c r="D212">
        <v>10</v>
      </c>
      <c r="E212">
        <v>-8</v>
      </c>
    </row>
    <row r="213" spans="1:6" x14ac:dyDescent="0.45">
      <c r="B213" s="10" t="s">
        <v>294</v>
      </c>
      <c r="C213">
        <v>32</v>
      </c>
      <c r="D213">
        <v>10</v>
      </c>
      <c r="E213">
        <v>-22</v>
      </c>
    </row>
    <row r="214" spans="1:6" x14ac:dyDescent="0.45">
      <c r="B214" s="7" t="s">
        <v>71</v>
      </c>
      <c r="C214">
        <v>5</v>
      </c>
      <c r="D214">
        <v>9</v>
      </c>
      <c r="E214">
        <v>4</v>
      </c>
    </row>
    <row r="215" spans="1:6" x14ac:dyDescent="0.45">
      <c r="B215" s="9" t="s">
        <v>71</v>
      </c>
      <c r="C215" s="4">
        <v>5</v>
      </c>
      <c r="D215" s="4">
        <v>9</v>
      </c>
      <c r="E215" s="4">
        <v>4</v>
      </c>
    </row>
    <row r="216" spans="1:6" x14ac:dyDescent="0.45">
      <c r="B216" s="10" t="s">
        <v>572</v>
      </c>
      <c r="C216">
        <v>5</v>
      </c>
      <c r="D216">
        <v>9</v>
      </c>
      <c r="E216">
        <v>4</v>
      </c>
      <c r="F216" t="s">
        <v>592</v>
      </c>
    </row>
    <row r="217" spans="1:6" x14ac:dyDescent="0.45">
      <c r="B217" s="7" t="s">
        <v>72</v>
      </c>
      <c r="C217">
        <v>7</v>
      </c>
      <c r="D217">
        <v>11</v>
      </c>
      <c r="E217">
        <v>4</v>
      </c>
    </row>
    <row r="218" spans="1:6" x14ac:dyDescent="0.45">
      <c r="B218" s="8" t="s">
        <v>72</v>
      </c>
      <c r="C218">
        <v>7</v>
      </c>
      <c r="D218">
        <v>11</v>
      </c>
      <c r="E218">
        <v>4</v>
      </c>
    </row>
    <row r="219" spans="1:6" x14ac:dyDescent="0.45">
      <c r="B219" s="10" t="s">
        <v>575</v>
      </c>
      <c r="C219">
        <v>0</v>
      </c>
      <c r="D219">
        <v>5</v>
      </c>
      <c r="E219">
        <v>5</v>
      </c>
    </row>
    <row r="220" spans="1:6" x14ac:dyDescent="0.45">
      <c r="B220" s="10" t="s">
        <v>581</v>
      </c>
      <c r="C220">
        <v>0</v>
      </c>
      <c r="D220">
        <v>1</v>
      </c>
      <c r="E220">
        <v>1</v>
      </c>
    </row>
    <row r="221" spans="1:6" x14ac:dyDescent="0.45">
      <c r="B221" s="10" t="s">
        <v>579</v>
      </c>
      <c r="C221">
        <v>1</v>
      </c>
      <c r="D221">
        <v>2</v>
      </c>
      <c r="E221">
        <v>1</v>
      </c>
    </row>
    <row r="222" spans="1:6" x14ac:dyDescent="0.45">
      <c r="B222" s="10" t="s">
        <v>578</v>
      </c>
      <c r="C222">
        <v>1</v>
      </c>
      <c r="D222">
        <v>2</v>
      </c>
      <c r="E222">
        <v>1</v>
      </c>
    </row>
    <row r="223" spans="1:6" x14ac:dyDescent="0.45">
      <c r="B223" s="10" t="s">
        <v>577</v>
      </c>
      <c r="C223">
        <v>0</v>
      </c>
      <c r="D223">
        <v>1</v>
      </c>
      <c r="E223">
        <v>1</v>
      </c>
    </row>
    <row r="224" spans="1:6" x14ac:dyDescent="0.45">
      <c r="B224" s="10" t="s">
        <v>574</v>
      </c>
      <c r="C224">
        <v>1</v>
      </c>
      <c r="D224">
        <v>0</v>
      </c>
      <c r="E224">
        <v>-1</v>
      </c>
    </row>
    <row r="225" spans="1:6" x14ac:dyDescent="0.45">
      <c r="B225" s="10" t="s">
        <v>580</v>
      </c>
      <c r="C225">
        <v>1</v>
      </c>
      <c r="D225">
        <v>0</v>
      </c>
      <c r="E225">
        <v>-1</v>
      </c>
    </row>
    <row r="226" spans="1:6" x14ac:dyDescent="0.45">
      <c r="B226" s="10" t="s">
        <v>576</v>
      </c>
      <c r="C226">
        <v>1</v>
      </c>
      <c r="D226">
        <v>0</v>
      </c>
      <c r="E226">
        <v>-1</v>
      </c>
    </row>
    <row r="227" spans="1:6" x14ac:dyDescent="0.45">
      <c r="B227" s="10" t="s">
        <v>573</v>
      </c>
      <c r="C227">
        <v>2</v>
      </c>
      <c r="D227">
        <v>0</v>
      </c>
      <c r="E227">
        <v>-2</v>
      </c>
    </row>
    <row r="228" spans="1:6" x14ac:dyDescent="0.45">
      <c r="B228" s="7" t="s">
        <v>583</v>
      </c>
      <c r="C228">
        <v>11772</v>
      </c>
      <c r="D228">
        <v>8915</v>
      </c>
    </row>
    <row r="229" spans="1:6" x14ac:dyDescent="0.45">
      <c r="B229" s="7" t="s">
        <v>54</v>
      </c>
      <c r="C229">
        <v>125</v>
      </c>
      <c r="D229">
        <v>108</v>
      </c>
      <c r="E229">
        <v>-17</v>
      </c>
    </row>
    <row r="230" spans="1:6" x14ac:dyDescent="0.45">
      <c r="B230" s="8" t="s">
        <v>54</v>
      </c>
      <c r="C230">
        <v>125</v>
      </c>
      <c r="D230">
        <v>108</v>
      </c>
      <c r="E230">
        <v>-17</v>
      </c>
    </row>
    <row r="231" spans="1:6" x14ac:dyDescent="0.45">
      <c r="A231" t="s">
        <v>594</v>
      </c>
      <c r="B231" s="11" t="s">
        <v>504</v>
      </c>
      <c r="C231" s="12">
        <v>13</v>
      </c>
      <c r="D231" s="12">
        <v>35</v>
      </c>
      <c r="E231" s="12">
        <v>22</v>
      </c>
      <c r="F231" t="s">
        <v>592</v>
      </c>
    </row>
    <row r="232" spans="1:6" x14ac:dyDescent="0.45">
      <c r="B232" s="10" t="s">
        <v>503</v>
      </c>
      <c r="C232">
        <v>8</v>
      </c>
      <c r="D232">
        <v>9</v>
      </c>
      <c r="E232">
        <v>1</v>
      </c>
      <c r="F232" t="s">
        <v>592</v>
      </c>
    </row>
    <row r="233" spans="1:6" x14ac:dyDescent="0.45">
      <c r="B233" s="10" t="s">
        <v>500</v>
      </c>
      <c r="C233">
        <v>5</v>
      </c>
      <c r="D233">
        <v>5</v>
      </c>
      <c r="E233">
        <v>0</v>
      </c>
      <c r="F233" t="s">
        <v>592</v>
      </c>
    </row>
    <row r="234" spans="1:6" x14ac:dyDescent="0.45">
      <c r="B234" s="10" t="s">
        <v>501</v>
      </c>
      <c r="C234">
        <v>2</v>
      </c>
      <c r="D234">
        <v>0</v>
      </c>
      <c r="E234">
        <v>-2</v>
      </c>
      <c r="F234" t="s">
        <v>592</v>
      </c>
    </row>
    <row r="235" spans="1:6" x14ac:dyDescent="0.45">
      <c r="B235" s="10" t="s">
        <v>495</v>
      </c>
      <c r="C235">
        <v>8</v>
      </c>
      <c r="D235">
        <v>5</v>
      </c>
      <c r="E235">
        <v>-3</v>
      </c>
      <c r="F235" t="s">
        <v>592</v>
      </c>
    </row>
    <row r="236" spans="1:6" x14ac:dyDescent="0.45">
      <c r="B236" s="10" t="s">
        <v>505</v>
      </c>
      <c r="C236">
        <v>19</v>
      </c>
      <c r="D236">
        <v>16</v>
      </c>
      <c r="E236">
        <v>-3</v>
      </c>
      <c r="F236" t="s">
        <v>592</v>
      </c>
    </row>
    <row r="237" spans="1:6" x14ac:dyDescent="0.45">
      <c r="B237" s="10" t="s">
        <v>499</v>
      </c>
      <c r="C237">
        <v>3</v>
      </c>
      <c r="D237">
        <v>0</v>
      </c>
      <c r="E237">
        <v>-3</v>
      </c>
      <c r="F237" t="s">
        <v>592</v>
      </c>
    </row>
    <row r="238" spans="1:6" x14ac:dyDescent="0.45">
      <c r="B238" s="10" t="s">
        <v>498</v>
      </c>
      <c r="C238">
        <v>4</v>
      </c>
      <c r="D238">
        <v>1</v>
      </c>
      <c r="E238">
        <v>-3</v>
      </c>
      <c r="F238" t="s">
        <v>592</v>
      </c>
    </row>
    <row r="239" spans="1:6" x14ac:dyDescent="0.45">
      <c r="B239" s="10" t="s">
        <v>496</v>
      </c>
      <c r="C239">
        <v>17</v>
      </c>
      <c r="D239">
        <v>13</v>
      </c>
      <c r="E239">
        <v>-4</v>
      </c>
      <c r="F239" t="s">
        <v>592</v>
      </c>
    </row>
    <row r="240" spans="1:6" x14ac:dyDescent="0.45">
      <c r="A240" t="s">
        <v>594</v>
      </c>
      <c r="B240" s="10" t="s">
        <v>494</v>
      </c>
      <c r="C240">
        <v>15</v>
      </c>
      <c r="D240">
        <v>10</v>
      </c>
      <c r="E240">
        <v>-5</v>
      </c>
      <c r="F240" t="s">
        <v>592</v>
      </c>
    </row>
    <row r="241" spans="2:6" x14ac:dyDescent="0.45">
      <c r="B241" s="10" t="s">
        <v>502</v>
      </c>
      <c r="C241">
        <v>9</v>
      </c>
      <c r="D241">
        <v>4</v>
      </c>
      <c r="E241">
        <v>-5</v>
      </c>
      <c r="F241" t="s">
        <v>592</v>
      </c>
    </row>
    <row r="242" spans="2:6" x14ac:dyDescent="0.45">
      <c r="B242" s="10" t="s">
        <v>497</v>
      </c>
      <c r="C242">
        <v>22</v>
      </c>
      <c r="D242">
        <v>10</v>
      </c>
      <c r="E242">
        <v>-12</v>
      </c>
      <c r="F242" t="s">
        <v>592</v>
      </c>
    </row>
    <row r="243" spans="2:6" x14ac:dyDescent="0.45">
      <c r="B243" s="7" t="s">
        <v>15</v>
      </c>
      <c r="C243">
        <v>320</v>
      </c>
      <c r="D243">
        <v>298</v>
      </c>
      <c r="E243">
        <v>-22</v>
      </c>
    </row>
    <row r="244" spans="2:6" x14ac:dyDescent="0.45">
      <c r="B244" s="9" t="s">
        <v>16</v>
      </c>
      <c r="C244" s="4">
        <v>34</v>
      </c>
      <c r="D244" s="4">
        <v>39</v>
      </c>
      <c r="E244" s="4">
        <v>5</v>
      </c>
    </row>
    <row r="245" spans="2:6" x14ac:dyDescent="0.45">
      <c r="B245" s="10" t="s">
        <v>117</v>
      </c>
      <c r="C245">
        <v>30</v>
      </c>
      <c r="D245">
        <v>34</v>
      </c>
      <c r="E245">
        <v>4</v>
      </c>
    </row>
    <row r="246" spans="2:6" x14ac:dyDescent="0.45">
      <c r="B246" s="10" t="s">
        <v>118</v>
      </c>
      <c r="C246">
        <v>4</v>
      </c>
      <c r="D246">
        <v>5</v>
      </c>
      <c r="E246">
        <v>1</v>
      </c>
    </row>
    <row r="247" spans="2:6" x14ac:dyDescent="0.45">
      <c r="B247" s="8" t="s">
        <v>15</v>
      </c>
      <c r="C247">
        <v>286</v>
      </c>
      <c r="D247">
        <v>259</v>
      </c>
      <c r="E247">
        <v>-27</v>
      </c>
    </row>
    <row r="248" spans="2:6" x14ac:dyDescent="0.45">
      <c r="B248" s="10" t="s">
        <v>120</v>
      </c>
      <c r="C248">
        <v>32</v>
      </c>
      <c r="D248">
        <v>40</v>
      </c>
      <c r="E248">
        <v>8</v>
      </c>
    </row>
    <row r="249" spans="2:6" x14ac:dyDescent="0.45">
      <c r="B249" s="10" t="s">
        <v>121</v>
      </c>
      <c r="C249">
        <v>43</v>
      </c>
      <c r="D249">
        <v>44</v>
      </c>
      <c r="E249">
        <v>1</v>
      </c>
    </row>
    <row r="250" spans="2:6" x14ac:dyDescent="0.45">
      <c r="B250" s="10" t="s">
        <v>119</v>
      </c>
      <c r="C250">
        <v>211</v>
      </c>
      <c r="D250">
        <v>175</v>
      </c>
      <c r="E250">
        <v>-36</v>
      </c>
    </row>
    <row r="251" spans="2:6" x14ac:dyDescent="0.45">
      <c r="B251" s="7" t="s">
        <v>66</v>
      </c>
      <c r="C251">
        <v>179</v>
      </c>
      <c r="D251">
        <v>152</v>
      </c>
      <c r="E251">
        <v>-27</v>
      </c>
    </row>
    <row r="252" spans="2:6" x14ac:dyDescent="0.45">
      <c r="B252" s="9" t="s">
        <v>70</v>
      </c>
      <c r="C252" s="4">
        <v>50</v>
      </c>
      <c r="D252" s="4">
        <v>74</v>
      </c>
      <c r="E252" s="4">
        <v>24</v>
      </c>
    </row>
    <row r="253" spans="2:6" x14ac:dyDescent="0.45">
      <c r="B253" s="11" t="s">
        <v>571</v>
      </c>
      <c r="C253" s="12">
        <v>8</v>
      </c>
      <c r="D253" s="12">
        <v>20</v>
      </c>
      <c r="E253" s="12">
        <v>12</v>
      </c>
    </row>
    <row r="254" spans="2:6" x14ac:dyDescent="0.45">
      <c r="B254" s="11" t="s">
        <v>570</v>
      </c>
      <c r="C254" s="12">
        <v>1</v>
      </c>
      <c r="D254" s="12">
        <v>13</v>
      </c>
      <c r="E254" s="12">
        <v>12</v>
      </c>
    </row>
    <row r="255" spans="2:6" x14ac:dyDescent="0.45">
      <c r="B255" s="10" t="s">
        <v>568</v>
      </c>
      <c r="C255">
        <v>22</v>
      </c>
      <c r="D255">
        <v>25</v>
      </c>
      <c r="E255">
        <v>3</v>
      </c>
    </row>
    <row r="256" spans="2:6" x14ac:dyDescent="0.45">
      <c r="B256" s="10" t="s">
        <v>569</v>
      </c>
      <c r="C256">
        <v>19</v>
      </c>
      <c r="D256">
        <v>16</v>
      </c>
      <c r="E256">
        <v>-3</v>
      </c>
    </row>
    <row r="257" spans="2:5" x14ac:dyDescent="0.45">
      <c r="B257" s="9" t="s">
        <v>51</v>
      </c>
      <c r="C257" s="4">
        <v>20</v>
      </c>
      <c r="D257" s="4">
        <v>22</v>
      </c>
      <c r="E257" s="4">
        <v>2</v>
      </c>
    </row>
    <row r="258" spans="2:5" x14ac:dyDescent="0.45">
      <c r="B258" s="10" t="s">
        <v>551</v>
      </c>
      <c r="C258">
        <v>-1</v>
      </c>
      <c r="D258">
        <v>2</v>
      </c>
      <c r="E258">
        <v>3</v>
      </c>
    </row>
    <row r="259" spans="2:5" x14ac:dyDescent="0.45">
      <c r="B259" s="10" t="s">
        <v>550</v>
      </c>
      <c r="C259">
        <v>2</v>
      </c>
      <c r="D259">
        <v>4</v>
      </c>
      <c r="E259">
        <v>2</v>
      </c>
    </row>
    <row r="260" spans="2:5" x14ac:dyDescent="0.45">
      <c r="B260" s="10" t="s">
        <v>548</v>
      </c>
      <c r="C260">
        <v>8</v>
      </c>
      <c r="D260">
        <v>9</v>
      </c>
      <c r="E260">
        <v>1</v>
      </c>
    </row>
    <row r="261" spans="2:5" x14ac:dyDescent="0.45">
      <c r="B261" s="10" t="s">
        <v>549</v>
      </c>
      <c r="C261">
        <v>11</v>
      </c>
      <c r="D261">
        <v>7</v>
      </c>
      <c r="E261">
        <v>-4</v>
      </c>
    </row>
    <row r="262" spans="2:5" x14ac:dyDescent="0.45">
      <c r="B262" s="9" t="s">
        <v>69</v>
      </c>
      <c r="C262" s="4">
        <v>5</v>
      </c>
      <c r="D262" s="4">
        <v>6</v>
      </c>
      <c r="E262" s="4">
        <v>1</v>
      </c>
    </row>
    <row r="263" spans="2:5" x14ac:dyDescent="0.45">
      <c r="B263" s="10" t="s">
        <v>567</v>
      </c>
      <c r="C263">
        <v>1</v>
      </c>
      <c r="D263">
        <v>2</v>
      </c>
      <c r="E263">
        <v>1</v>
      </c>
    </row>
    <row r="264" spans="2:5" x14ac:dyDescent="0.45">
      <c r="B264" s="10" t="s">
        <v>566</v>
      </c>
      <c r="C264">
        <v>0</v>
      </c>
      <c r="D264">
        <v>1</v>
      </c>
      <c r="E264">
        <v>1</v>
      </c>
    </row>
    <row r="265" spans="2:5" x14ac:dyDescent="0.45">
      <c r="B265" s="10" t="s">
        <v>564</v>
      </c>
      <c r="C265">
        <v>1</v>
      </c>
      <c r="D265">
        <v>1</v>
      </c>
      <c r="E265">
        <v>0</v>
      </c>
    </row>
    <row r="266" spans="2:5" x14ac:dyDescent="0.45">
      <c r="B266" s="10" t="s">
        <v>565</v>
      </c>
      <c r="C266">
        <v>3</v>
      </c>
      <c r="D266">
        <v>2</v>
      </c>
      <c r="E266">
        <v>-1</v>
      </c>
    </row>
    <row r="267" spans="2:5" x14ac:dyDescent="0.45">
      <c r="B267" s="8" t="s">
        <v>67</v>
      </c>
      <c r="C267">
        <v>15</v>
      </c>
      <c r="D267">
        <v>0</v>
      </c>
      <c r="E267">
        <v>-15</v>
      </c>
    </row>
    <row r="268" spans="2:5" x14ac:dyDescent="0.45">
      <c r="B268" s="10" t="s">
        <v>546</v>
      </c>
      <c r="C268">
        <v>1</v>
      </c>
      <c r="D268">
        <v>0</v>
      </c>
      <c r="E268">
        <v>-1</v>
      </c>
    </row>
    <row r="269" spans="2:5" x14ac:dyDescent="0.45">
      <c r="B269" s="10" t="s">
        <v>545</v>
      </c>
      <c r="C269">
        <v>1</v>
      </c>
      <c r="D269">
        <v>0</v>
      </c>
      <c r="E269">
        <v>-1</v>
      </c>
    </row>
    <row r="270" spans="2:5" x14ac:dyDescent="0.45">
      <c r="B270" s="10" t="s">
        <v>544</v>
      </c>
      <c r="C270">
        <v>4</v>
      </c>
      <c r="D270">
        <v>0</v>
      </c>
      <c r="E270">
        <v>-4</v>
      </c>
    </row>
    <row r="271" spans="2:5" x14ac:dyDescent="0.45">
      <c r="B271" s="10" t="s">
        <v>547</v>
      </c>
      <c r="C271">
        <v>9</v>
      </c>
      <c r="D271">
        <v>0</v>
      </c>
      <c r="E271">
        <v>-9</v>
      </c>
    </row>
    <row r="272" spans="2:5" x14ac:dyDescent="0.45">
      <c r="B272" s="8" t="s">
        <v>68</v>
      </c>
      <c r="C272">
        <v>89</v>
      </c>
      <c r="D272">
        <v>50</v>
      </c>
      <c r="E272">
        <v>-39</v>
      </c>
    </row>
    <row r="273" spans="2:6" x14ac:dyDescent="0.45">
      <c r="B273" s="10" t="s">
        <v>562</v>
      </c>
      <c r="C273">
        <v>0</v>
      </c>
      <c r="D273">
        <v>6</v>
      </c>
      <c r="E273">
        <v>6</v>
      </c>
    </row>
    <row r="274" spans="2:6" x14ac:dyDescent="0.45">
      <c r="B274" s="10" t="s">
        <v>561</v>
      </c>
      <c r="C274">
        <v>0</v>
      </c>
      <c r="D274">
        <v>4</v>
      </c>
      <c r="E274">
        <v>4</v>
      </c>
    </row>
    <row r="275" spans="2:6" x14ac:dyDescent="0.45">
      <c r="B275" s="10" t="s">
        <v>558</v>
      </c>
      <c r="C275">
        <v>0</v>
      </c>
      <c r="D275">
        <v>4</v>
      </c>
      <c r="E275">
        <v>4</v>
      </c>
    </row>
    <row r="276" spans="2:6" x14ac:dyDescent="0.45">
      <c r="B276" s="10" t="s">
        <v>557</v>
      </c>
      <c r="C276">
        <v>1</v>
      </c>
      <c r="D276">
        <v>3</v>
      </c>
      <c r="E276">
        <v>2</v>
      </c>
    </row>
    <row r="277" spans="2:6" x14ac:dyDescent="0.45">
      <c r="B277" s="10" t="s">
        <v>556</v>
      </c>
      <c r="C277">
        <v>0</v>
      </c>
      <c r="D277">
        <v>0</v>
      </c>
      <c r="E277">
        <v>0</v>
      </c>
    </row>
    <row r="278" spans="2:6" x14ac:dyDescent="0.45">
      <c r="B278" s="10" t="s">
        <v>553</v>
      </c>
      <c r="C278">
        <v>1</v>
      </c>
      <c r="D278">
        <v>1</v>
      </c>
      <c r="E278">
        <v>0</v>
      </c>
    </row>
    <row r="279" spans="2:6" x14ac:dyDescent="0.45">
      <c r="B279" s="10" t="s">
        <v>552</v>
      </c>
      <c r="C279">
        <v>2</v>
      </c>
      <c r="D279">
        <v>1</v>
      </c>
      <c r="E279">
        <v>-1</v>
      </c>
    </row>
    <row r="280" spans="2:6" x14ac:dyDescent="0.45">
      <c r="B280" s="10" t="s">
        <v>554</v>
      </c>
      <c r="C280">
        <v>6</v>
      </c>
      <c r="D280">
        <v>4</v>
      </c>
      <c r="E280">
        <v>-2</v>
      </c>
    </row>
    <row r="281" spans="2:6" x14ac:dyDescent="0.45">
      <c r="B281" s="10" t="s">
        <v>555</v>
      </c>
      <c r="C281">
        <v>7</v>
      </c>
      <c r="D281">
        <v>3</v>
      </c>
      <c r="E281">
        <v>-4</v>
      </c>
    </row>
    <row r="282" spans="2:6" x14ac:dyDescent="0.45">
      <c r="B282" s="10" t="s">
        <v>559</v>
      </c>
      <c r="C282">
        <v>7</v>
      </c>
      <c r="D282">
        <v>1</v>
      </c>
      <c r="E282">
        <v>-6</v>
      </c>
    </row>
    <row r="283" spans="2:6" x14ac:dyDescent="0.45">
      <c r="B283" s="10" t="s">
        <v>560</v>
      </c>
      <c r="C283">
        <v>27</v>
      </c>
      <c r="D283">
        <v>12</v>
      </c>
      <c r="E283">
        <v>-15</v>
      </c>
    </row>
    <row r="284" spans="2:6" x14ac:dyDescent="0.45">
      <c r="B284" s="10" t="s">
        <v>563</v>
      </c>
      <c r="C284">
        <v>38</v>
      </c>
      <c r="D284">
        <v>11</v>
      </c>
      <c r="E284">
        <v>-27</v>
      </c>
    </row>
    <row r="285" spans="2:6" x14ac:dyDescent="0.45">
      <c r="B285" s="7" t="s">
        <v>55</v>
      </c>
      <c r="C285">
        <v>102</v>
      </c>
      <c r="D285">
        <v>74</v>
      </c>
      <c r="E285">
        <v>-28</v>
      </c>
    </row>
    <row r="286" spans="2:6" x14ac:dyDescent="0.45">
      <c r="B286" s="9" t="s">
        <v>61</v>
      </c>
      <c r="C286" s="4">
        <v>9</v>
      </c>
      <c r="D286" s="4">
        <v>13</v>
      </c>
      <c r="E286" s="4">
        <v>4</v>
      </c>
    </row>
    <row r="287" spans="2:6" x14ac:dyDescent="0.45">
      <c r="B287" s="10" t="s">
        <v>526</v>
      </c>
      <c r="C287">
        <v>0</v>
      </c>
      <c r="D287">
        <v>3</v>
      </c>
      <c r="E287">
        <v>3</v>
      </c>
      <c r="F287" t="s">
        <v>592</v>
      </c>
    </row>
    <row r="288" spans="2:6" x14ac:dyDescent="0.45">
      <c r="B288" s="10" t="s">
        <v>529</v>
      </c>
      <c r="C288">
        <v>1</v>
      </c>
      <c r="D288">
        <v>2</v>
      </c>
      <c r="E288">
        <v>1</v>
      </c>
      <c r="F288" t="s">
        <v>592</v>
      </c>
    </row>
    <row r="289" spans="2:6" x14ac:dyDescent="0.45">
      <c r="B289" s="10" t="s">
        <v>528</v>
      </c>
      <c r="C289">
        <v>0</v>
      </c>
      <c r="D289">
        <v>1</v>
      </c>
      <c r="E289">
        <v>1</v>
      </c>
      <c r="F289" t="s">
        <v>592</v>
      </c>
    </row>
    <row r="290" spans="2:6" x14ac:dyDescent="0.45">
      <c r="B290" s="10" t="s">
        <v>524</v>
      </c>
      <c r="C290">
        <v>2</v>
      </c>
      <c r="D290">
        <v>3</v>
      </c>
      <c r="E290">
        <v>1</v>
      </c>
      <c r="F290" t="s">
        <v>592</v>
      </c>
    </row>
    <row r="291" spans="2:6" x14ac:dyDescent="0.45">
      <c r="B291" s="10" t="s">
        <v>527</v>
      </c>
      <c r="C291">
        <v>0</v>
      </c>
      <c r="D291">
        <v>0</v>
      </c>
      <c r="E291">
        <v>0</v>
      </c>
      <c r="F291" t="s">
        <v>592</v>
      </c>
    </row>
    <row r="292" spans="2:6" x14ac:dyDescent="0.45">
      <c r="B292" s="10" t="s">
        <v>523</v>
      </c>
      <c r="C292">
        <v>3</v>
      </c>
      <c r="D292">
        <v>3</v>
      </c>
      <c r="E292">
        <v>0</v>
      </c>
      <c r="F292" t="s">
        <v>592</v>
      </c>
    </row>
    <row r="293" spans="2:6" x14ac:dyDescent="0.45">
      <c r="B293" s="10" t="s">
        <v>525</v>
      </c>
      <c r="C293">
        <v>3</v>
      </c>
      <c r="D293">
        <v>1</v>
      </c>
      <c r="E293">
        <v>-2</v>
      </c>
      <c r="F293" t="s">
        <v>592</v>
      </c>
    </row>
    <row r="294" spans="2:6" x14ac:dyDescent="0.45">
      <c r="B294" s="9" t="s">
        <v>59</v>
      </c>
      <c r="C294" s="4">
        <v>1</v>
      </c>
      <c r="D294" s="4">
        <v>4</v>
      </c>
      <c r="E294" s="4">
        <v>3</v>
      </c>
    </row>
    <row r="295" spans="2:6" x14ac:dyDescent="0.45">
      <c r="B295" s="10" t="s">
        <v>520</v>
      </c>
      <c r="C295">
        <v>0</v>
      </c>
      <c r="D295">
        <v>3</v>
      </c>
      <c r="E295">
        <v>3</v>
      </c>
    </row>
    <row r="296" spans="2:6" x14ac:dyDescent="0.45">
      <c r="B296" s="10" t="s">
        <v>519</v>
      </c>
      <c r="C296">
        <v>0</v>
      </c>
      <c r="D296">
        <v>1</v>
      </c>
      <c r="E296">
        <v>1</v>
      </c>
    </row>
    <row r="297" spans="2:6" x14ac:dyDescent="0.45">
      <c r="B297" s="10" t="s">
        <v>521</v>
      </c>
      <c r="C297">
        <v>1</v>
      </c>
      <c r="D297">
        <v>0</v>
      </c>
      <c r="E297">
        <v>-1</v>
      </c>
    </row>
    <row r="298" spans="2:6" x14ac:dyDescent="0.45">
      <c r="B298" s="9" t="s">
        <v>57</v>
      </c>
      <c r="C298" s="4">
        <v>0</v>
      </c>
      <c r="D298" s="4">
        <v>3</v>
      </c>
      <c r="E298" s="4">
        <v>3</v>
      </c>
    </row>
    <row r="299" spans="2:6" x14ac:dyDescent="0.45">
      <c r="B299" s="10" t="s">
        <v>517</v>
      </c>
      <c r="C299">
        <v>0</v>
      </c>
      <c r="D299">
        <v>3</v>
      </c>
      <c r="E299">
        <v>3</v>
      </c>
    </row>
    <row r="300" spans="2:6" x14ac:dyDescent="0.45">
      <c r="B300" s="8" t="s">
        <v>58</v>
      </c>
      <c r="C300">
        <v>1</v>
      </c>
      <c r="D300">
        <v>1</v>
      </c>
      <c r="E300">
        <v>0</v>
      </c>
    </row>
    <row r="301" spans="2:6" x14ac:dyDescent="0.45">
      <c r="B301" s="10" t="s">
        <v>518</v>
      </c>
      <c r="C301">
        <v>1</v>
      </c>
      <c r="D301">
        <v>1</v>
      </c>
      <c r="E301">
        <v>0</v>
      </c>
      <c r="F301" t="s">
        <v>592</v>
      </c>
    </row>
    <row r="302" spans="2:6" x14ac:dyDescent="0.45">
      <c r="B302" s="8" t="s">
        <v>60</v>
      </c>
      <c r="C302">
        <v>1</v>
      </c>
      <c r="D302">
        <v>0</v>
      </c>
      <c r="E302">
        <v>-1</v>
      </c>
    </row>
    <row r="303" spans="2:6" x14ac:dyDescent="0.45">
      <c r="B303" s="10" t="s">
        <v>522</v>
      </c>
      <c r="C303">
        <v>1</v>
      </c>
      <c r="D303">
        <v>0</v>
      </c>
      <c r="E303">
        <v>-1</v>
      </c>
    </row>
    <row r="304" spans="2:6" x14ac:dyDescent="0.45">
      <c r="B304" s="8" t="s">
        <v>62</v>
      </c>
      <c r="C304">
        <v>13</v>
      </c>
      <c r="D304">
        <v>9</v>
      </c>
      <c r="E304">
        <v>-4</v>
      </c>
    </row>
    <row r="305" spans="2:6" x14ac:dyDescent="0.45">
      <c r="B305" s="10" t="s">
        <v>530</v>
      </c>
      <c r="C305">
        <v>6</v>
      </c>
      <c r="D305">
        <v>9</v>
      </c>
      <c r="E305">
        <v>3</v>
      </c>
      <c r="F305" t="s">
        <v>592</v>
      </c>
    </row>
    <row r="306" spans="2:6" x14ac:dyDescent="0.45">
      <c r="B306" s="10" t="s">
        <v>531</v>
      </c>
      <c r="C306">
        <v>7</v>
      </c>
      <c r="D306">
        <v>0</v>
      </c>
      <c r="E306">
        <v>-7</v>
      </c>
      <c r="F306" t="s">
        <v>592</v>
      </c>
    </row>
    <row r="307" spans="2:6" x14ac:dyDescent="0.45">
      <c r="B307" s="8" t="s">
        <v>65</v>
      </c>
      <c r="C307">
        <v>15</v>
      </c>
      <c r="D307">
        <v>11</v>
      </c>
      <c r="E307">
        <v>-4</v>
      </c>
    </row>
    <row r="308" spans="2:6" x14ac:dyDescent="0.45">
      <c r="B308" s="10" t="s">
        <v>542</v>
      </c>
      <c r="C308">
        <v>4</v>
      </c>
      <c r="D308">
        <v>4</v>
      </c>
      <c r="E308">
        <v>0</v>
      </c>
    </row>
    <row r="309" spans="2:6" x14ac:dyDescent="0.45">
      <c r="B309" s="10" t="s">
        <v>543</v>
      </c>
      <c r="C309">
        <v>11</v>
      </c>
      <c r="D309">
        <v>7</v>
      </c>
      <c r="E309">
        <v>-4</v>
      </c>
    </row>
    <row r="310" spans="2:6" x14ac:dyDescent="0.45">
      <c r="B310" s="8" t="s">
        <v>63</v>
      </c>
      <c r="C310">
        <v>18</v>
      </c>
      <c r="D310">
        <v>14</v>
      </c>
      <c r="E310">
        <v>-4</v>
      </c>
    </row>
    <row r="311" spans="2:6" x14ac:dyDescent="0.45">
      <c r="B311" s="10" t="s">
        <v>533</v>
      </c>
      <c r="C311">
        <v>2</v>
      </c>
      <c r="D311">
        <v>4</v>
      </c>
      <c r="E311">
        <v>2</v>
      </c>
      <c r="F311" t="s">
        <v>592</v>
      </c>
    </row>
    <row r="312" spans="2:6" x14ac:dyDescent="0.45">
      <c r="B312" s="10" t="s">
        <v>539</v>
      </c>
      <c r="C312">
        <v>1</v>
      </c>
      <c r="D312">
        <v>2</v>
      </c>
      <c r="E312">
        <v>1</v>
      </c>
      <c r="F312" t="s">
        <v>592</v>
      </c>
    </row>
    <row r="313" spans="2:6" x14ac:dyDescent="0.45">
      <c r="B313" s="10" t="s">
        <v>534</v>
      </c>
      <c r="C313">
        <v>1</v>
      </c>
      <c r="D313">
        <v>1</v>
      </c>
      <c r="E313">
        <v>0</v>
      </c>
      <c r="F313" t="s">
        <v>592</v>
      </c>
    </row>
    <row r="314" spans="2:6" x14ac:dyDescent="0.45">
      <c r="B314" s="10" t="s">
        <v>532</v>
      </c>
      <c r="C314">
        <v>3</v>
      </c>
      <c r="D314">
        <v>3</v>
      </c>
      <c r="E314">
        <v>0</v>
      </c>
      <c r="F314" t="s">
        <v>592</v>
      </c>
    </row>
    <row r="315" spans="2:6" x14ac:dyDescent="0.45">
      <c r="B315" s="10" t="s">
        <v>536</v>
      </c>
      <c r="C315">
        <v>1</v>
      </c>
      <c r="D315">
        <v>0</v>
      </c>
      <c r="E315">
        <v>-1</v>
      </c>
      <c r="F315" t="s">
        <v>592</v>
      </c>
    </row>
    <row r="316" spans="2:6" x14ac:dyDescent="0.45">
      <c r="B316" s="10" t="s">
        <v>538</v>
      </c>
      <c r="C316">
        <v>1</v>
      </c>
      <c r="D316">
        <v>0</v>
      </c>
      <c r="E316">
        <v>-1</v>
      </c>
      <c r="F316" t="s">
        <v>592</v>
      </c>
    </row>
    <row r="317" spans="2:6" x14ac:dyDescent="0.45">
      <c r="B317" s="10" t="s">
        <v>537</v>
      </c>
      <c r="C317">
        <v>3</v>
      </c>
      <c r="D317">
        <v>1</v>
      </c>
      <c r="E317">
        <v>-2</v>
      </c>
      <c r="F317" t="s">
        <v>592</v>
      </c>
    </row>
    <row r="318" spans="2:6" x14ac:dyDescent="0.45">
      <c r="B318" s="10" t="s">
        <v>535</v>
      </c>
      <c r="C318">
        <v>6</v>
      </c>
      <c r="D318">
        <v>3</v>
      </c>
      <c r="E318">
        <v>-3</v>
      </c>
      <c r="F318" t="s">
        <v>592</v>
      </c>
    </row>
    <row r="319" spans="2:6" x14ac:dyDescent="0.45">
      <c r="B319" s="8" t="s">
        <v>64</v>
      </c>
      <c r="C319">
        <v>12</v>
      </c>
      <c r="D319">
        <v>3</v>
      </c>
      <c r="E319">
        <v>-9</v>
      </c>
    </row>
    <row r="320" spans="2:6" x14ac:dyDescent="0.45">
      <c r="B320" s="10" t="s">
        <v>540</v>
      </c>
      <c r="C320">
        <v>2</v>
      </c>
      <c r="D320">
        <v>1</v>
      </c>
      <c r="E320">
        <v>-1</v>
      </c>
      <c r="F320" t="s">
        <v>592</v>
      </c>
    </row>
    <row r="321" spans="2:6" x14ac:dyDescent="0.45">
      <c r="B321" s="10" t="s">
        <v>541</v>
      </c>
      <c r="C321">
        <v>10</v>
      </c>
      <c r="D321">
        <v>2</v>
      </c>
      <c r="E321">
        <v>-8</v>
      </c>
      <c r="F321" t="s">
        <v>592</v>
      </c>
    </row>
    <row r="322" spans="2:6" x14ac:dyDescent="0.45">
      <c r="B322" s="8" t="s">
        <v>56</v>
      </c>
      <c r="C322">
        <v>32</v>
      </c>
      <c r="D322">
        <v>16</v>
      </c>
      <c r="E322">
        <v>-16</v>
      </c>
    </row>
    <row r="323" spans="2:6" x14ac:dyDescent="0.45">
      <c r="B323" s="10" t="s">
        <v>510</v>
      </c>
      <c r="C323">
        <v>0</v>
      </c>
      <c r="D323">
        <v>0</v>
      </c>
      <c r="E323">
        <v>0</v>
      </c>
      <c r="F323" t="s">
        <v>592</v>
      </c>
    </row>
    <row r="324" spans="2:6" x14ac:dyDescent="0.45">
      <c r="B324" s="10" t="s">
        <v>506</v>
      </c>
      <c r="C324">
        <v>1</v>
      </c>
      <c r="D324">
        <v>1</v>
      </c>
      <c r="E324">
        <v>0</v>
      </c>
      <c r="F324" t="s">
        <v>592</v>
      </c>
    </row>
    <row r="325" spans="2:6" x14ac:dyDescent="0.45">
      <c r="B325" s="10" t="s">
        <v>514</v>
      </c>
      <c r="C325">
        <v>2</v>
      </c>
      <c r="D325">
        <v>2</v>
      </c>
      <c r="E325">
        <v>0</v>
      </c>
      <c r="F325" t="s">
        <v>592</v>
      </c>
    </row>
    <row r="326" spans="2:6" x14ac:dyDescent="0.45">
      <c r="B326" s="10" t="s">
        <v>512</v>
      </c>
      <c r="C326">
        <v>1</v>
      </c>
      <c r="D326">
        <v>0</v>
      </c>
      <c r="E326">
        <v>-1</v>
      </c>
      <c r="F326" t="s">
        <v>592</v>
      </c>
    </row>
    <row r="327" spans="2:6" x14ac:dyDescent="0.45">
      <c r="B327" s="10" t="s">
        <v>508</v>
      </c>
      <c r="C327">
        <v>1</v>
      </c>
      <c r="D327">
        <v>0</v>
      </c>
      <c r="E327">
        <v>-1</v>
      </c>
      <c r="F327" t="s">
        <v>592</v>
      </c>
    </row>
    <row r="328" spans="2:6" x14ac:dyDescent="0.45">
      <c r="B328" s="10" t="s">
        <v>513</v>
      </c>
      <c r="C328">
        <v>3</v>
      </c>
      <c r="D328">
        <v>2</v>
      </c>
      <c r="E328">
        <v>-1</v>
      </c>
      <c r="F328" t="s">
        <v>592</v>
      </c>
    </row>
    <row r="329" spans="2:6" x14ac:dyDescent="0.45">
      <c r="B329" s="10" t="s">
        <v>507</v>
      </c>
      <c r="C329">
        <v>1</v>
      </c>
      <c r="D329">
        <v>0</v>
      </c>
      <c r="E329">
        <v>-1</v>
      </c>
      <c r="F329" t="s">
        <v>592</v>
      </c>
    </row>
    <row r="330" spans="2:6" x14ac:dyDescent="0.45">
      <c r="B330" s="10" t="s">
        <v>509</v>
      </c>
      <c r="C330">
        <v>8</v>
      </c>
      <c r="D330">
        <v>7</v>
      </c>
      <c r="E330">
        <v>-1</v>
      </c>
      <c r="F330" t="s">
        <v>592</v>
      </c>
    </row>
    <row r="331" spans="2:6" x14ac:dyDescent="0.45">
      <c r="B331" s="10" t="s">
        <v>511</v>
      </c>
      <c r="C331">
        <v>1</v>
      </c>
      <c r="D331">
        <v>0</v>
      </c>
      <c r="E331">
        <v>-1</v>
      </c>
      <c r="F331" t="s">
        <v>592</v>
      </c>
    </row>
    <row r="332" spans="2:6" x14ac:dyDescent="0.45">
      <c r="B332" s="10" t="s">
        <v>515</v>
      </c>
      <c r="C332">
        <v>3</v>
      </c>
      <c r="D332">
        <v>0</v>
      </c>
      <c r="E332">
        <v>-3</v>
      </c>
      <c r="F332" t="s">
        <v>592</v>
      </c>
    </row>
    <row r="333" spans="2:6" x14ac:dyDescent="0.45">
      <c r="B333" s="10" t="s">
        <v>516</v>
      </c>
      <c r="C333">
        <v>11</v>
      </c>
      <c r="D333">
        <v>4</v>
      </c>
      <c r="E333">
        <v>-7</v>
      </c>
      <c r="F333" t="s">
        <v>592</v>
      </c>
    </row>
    <row r="334" spans="2:6" x14ac:dyDescent="0.45">
      <c r="B334" s="7" t="s">
        <v>50</v>
      </c>
      <c r="C334">
        <v>472</v>
      </c>
      <c r="D334">
        <v>418</v>
      </c>
      <c r="E334">
        <v>-54</v>
      </c>
    </row>
    <row r="335" spans="2:6" x14ac:dyDescent="0.45">
      <c r="B335" s="9" t="s">
        <v>52</v>
      </c>
      <c r="C335" s="4">
        <v>25</v>
      </c>
      <c r="D335" s="4">
        <v>32</v>
      </c>
      <c r="E335" s="4">
        <v>7</v>
      </c>
    </row>
    <row r="336" spans="2:6" x14ac:dyDescent="0.45">
      <c r="B336" s="10" t="s">
        <v>449</v>
      </c>
      <c r="C336">
        <v>1</v>
      </c>
      <c r="D336">
        <v>10</v>
      </c>
      <c r="E336">
        <v>9</v>
      </c>
      <c r="F336" t="s">
        <v>592</v>
      </c>
    </row>
    <row r="337" spans="2:6" x14ac:dyDescent="0.45">
      <c r="B337" s="10" t="s">
        <v>453</v>
      </c>
      <c r="C337">
        <v>0</v>
      </c>
      <c r="D337">
        <v>6</v>
      </c>
      <c r="E337">
        <v>6</v>
      </c>
      <c r="F337" t="s">
        <v>592</v>
      </c>
    </row>
    <row r="338" spans="2:6" x14ac:dyDescent="0.45">
      <c r="B338" s="10" t="s">
        <v>439</v>
      </c>
      <c r="C338">
        <v>0</v>
      </c>
      <c r="D338">
        <v>2</v>
      </c>
      <c r="E338">
        <v>2</v>
      </c>
      <c r="F338" t="s">
        <v>592</v>
      </c>
    </row>
    <row r="339" spans="2:6" x14ac:dyDescent="0.45">
      <c r="B339" s="10" t="s">
        <v>440</v>
      </c>
      <c r="C339">
        <v>2</v>
      </c>
      <c r="D339">
        <v>3</v>
      </c>
      <c r="E339">
        <v>1</v>
      </c>
      <c r="F339" t="s">
        <v>592</v>
      </c>
    </row>
    <row r="340" spans="2:6" x14ac:dyDescent="0.45">
      <c r="B340" s="10" t="s">
        <v>451</v>
      </c>
      <c r="C340">
        <v>0</v>
      </c>
      <c r="D340">
        <v>1</v>
      </c>
      <c r="E340">
        <v>1</v>
      </c>
      <c r="F340" t="s">
        <v>592</v>
      </c>
    </row>
    <row r="341" spans="2:6" x14ac:dyDescent="0.45">
      <c r="B341" s="10" t="s">
        <v>443</v>
      </c>
      <c r="C341">
        <v>0</v>
      </c>
      <c r="D341">
        <v>1</v>
      </c>
      <c r="E341">
        <v>1</v>
      </c>
      <c r="F341" t="s">
        <v>592</v>
      </c>
    </row>
    <row r="342" spans="2:6" x14ac:dyDescent="0.45">
      <c r="B342" s="10" t="s">
        <v>445</v>
      </c>
      <c r="C342">
        <v>2</v>
      </c>
      <c r="D342">
        <v>3</v>
      </c>
      <c r="E342">
        <v>1</v>
      </c>
      <c r="F342" t="s">
        <v>592</v>
      </c>
    </row>
    <row r="343" spans="2:6" x14ac:dyDescent="0.45">
      <c r="B343" s="10" t="s">
        <v>441</v>
      </c>
      <c r="C343">
        <v>2</v>
      </c>
      <c r="D343">
        <v>2</v>
      </c>
      <c r="E343">
        <v>0</v>
      </c>
      <c r="F343" t="s">
        <v>592</v>
      </c>
    </row>
    <row r="344" spans="2:6" x14ac:dyDescent="0.45">
      <c r="B344" s="10" t="s">
        <v>448</v>
      </c>
      <c r="C344">
        <v>1</v>
      </c>
      <c r="D344">
        <v>1</v>
      </c>
      <c r="E344">
        <v>0</v>
      </c>
      <c r="F344" t="s">
        <v>592</v>
      </c>
    </row>
    <row r="345" spans="2:6" x14ac:dyDescent="0.45">
      <c r="B345" s="10" t="s">
        <v>452</v>
      </c>
      <c r="C345">
        <v>1</v>
      </c>
      <c r="D345">
        <v>0</v>
      </c>
      <c r="E345">
        <v>-1</v>
      </c>
      <c r="F345" t="s">
        <v>592</v>
      </c>
    </row>
    <row r="346" spans="2:6" x14ac:dyDescent="0.45">
      <c r="B346" s="10" t="s">
        <v>446</v>
      </c>
      <c r="C346">
        <v>3</v>
      </c>
      <c r="D346">
        <v>2</v>
      </c>
      <c r="E346">
        <v>-1</v>
      </c>
      <c r="F346" t="s">
        <v>592</v>
      </c>
    </row>
    <row r="347" spans="2:6" x14ac:dyDescent="0.45">
      <c r="B347" s="10" t="s">
        <v>442</v>
      </c>
      <c r="C347">
        <v>3</v>
      </c>
      <c r="D347">
        <v>1</v>
      </c>
      <c r="E347">
        <v>-2</v>
      </c>
      <c r="F347" t="s">
        <v>592</v>
      </c>
    </row>
    <row r="348" spans="2:6" x14ac:dyDescent="0.45">
      <c r="B348" s="10" t="s">
        <v>444</v>
      </c>
      <c r="C348">
        <v>2</v>
      </c>
      <c r="D348">
        <v>0</v>
      </c>
      <c r="E348">
        <v>-2</v>
      </c>
      <c r="F348" t="s">
        <v>592</v>
      </c>
    </row>
    <row r="349" spans="2:6" x14ac:dyDescent="0.45">
      <c r="B349" s="10" t="s">
        <v>447</v>
      </c>
      <c r="C349">
        <v>2</v>
      </c>
      <c r="D349">
        <v>0</v>
      </c>
      <c r="E349">
        <v>-2</v>
      </c>
      <c r="F349" t="s">
        <v>592</v>
      </c>
    </row>
    <row r="350" spans="2:6" x14ac:dyDescent="0.45">
      <c r="B350" s="10" t="s">
        <v>450</v>
      </c>
      <c r="C350">
        <v>6</v>
      </c>
      <c r="D350">
        <v>0</v>
      </c>
      <c r="E350">
        <v>-6</v>
      </c>
      <c r="F350" t="s">
        <v>592</v>
      </c>
    </row>
    <row r="351" spans="2:6" x14ac:dyDescent="0.45">
      <c r="B351" s="8" t="s">
        <v>53</v>
      </c>
      <c r="C351">
        <v>221</v>
      </c>
      <c r="D351">
        <v>212</v>
      </c>
      <c r="E351">
        <v>-9</v>
      </c>
    </row>
    <row r="352" spans="2:6" x14ac:dyDescent="0.45">
      <c r="B352" s="11" t="s">
        <v>489</v>
      </c>
      <c r="C352" s="12">
        <v>11</v>
      </c>
      <c r="D352" s="12">
        <v>21</v>
      </c>
      <c r="E352" s="12">
        <v>10</v>
      </c>
      <c r="F352" t="s">
        <v>592</v>
      </c>
    </row>
    <row r="353" spans="2:6" x14ac:dyDescent="0.45">
      <c r="B353" s="10" t="s">
        <v>493</v>
      </c>
      <c r="C353">
        <v>2</v>
      </c>
      <c r="D353">
        <v>9</v>
      </c>
      <c r="E353">
        <v>7</v>
      </c>
      <c r="F353" t="s">
        <v>592</v>
      </c>
    </row>
    <row r="354" spans="2:6" x14ac:dyDescent="0.45">
      <c r="B354" s="10" t="s">
        <v>457</v>
      </c>
      <c r="C354">
        <v>4</v>
      </c>
      <c r="D354">
        <v>11</v>
      </c>
      <c r="E354">
        <v>7</v>
      </c>
      <c r="F354" t="s">
        <v>592</v>
      </c>
    </row>
    <row r="355" spans="2:6" x14ac:dyDescent="0.45">
      <c r="B355" s="10" t="s">
        <v>474</v>
      </c>
      <c r="C355">
        <v>14</v>
      </c>
      <c r="D355">
        <v>19</v>
      </c>
      <c r="E355">
        <v>5</v>
      </c>
      <c r="F355" t="s">
        <v>592</v>
      </c>
    </row>
    <row r="356" spans="2:6" x14ac:dyDescent="0.45">
      <c r="B356" s="10" t="s">
        <v>469</v>
      </c>
      <c r="C356">
        <v>3</v>
      </c>
      <c r="D356">
        <v>7</v>
      </c>
      <c r="E356">
        <v>4</v>
      </c>
      <c r="F356" t="s">
        <v>592</v>
      </c>
    </row>
    <row r="357" spans="2:6" x14ac:dyDescent="0.45">
      <c r="B357" s="10" t="s">
        <v>492</v>
      </c>
      <c r="C357">
        <v>0</v>
      </c>
      <c r="D357">
        <v>3</v>
      </c>
      <c r="E357">
        <v>3</v>
      </c>
      <c r="F357" t="s">
        <v>592</v>
      </c>
    </row>
    <row r="358" spans="2:6" x14ac:dyDescent="0.45">
      <c r="B358" s="10" t="s">
        <v>460</v>
      </c>
      <c r="C358">
        <v>13</v>
      </c>
      <c r="D358">
        <v>16</v>
      </c>
      <c r="E358">
        <v>3</v>
      </c>
      <c r="F358" t="s">
        <v>592</v>
      </c>
    </row>
    <row r="359" spans="2:6" x14ac:dyDescent="0.45">
      <c r="B359" s="10" t="s">
        <v>467</v>
      </c>
      <c r="C359">
        <v>0</v>
      </c>
      <c r="D359">
        <v>3</v>
      </c>
      <c r="E359">
        <v>3</v>
      </c>
      <c r="F359" t="s">
        <v>592</v>
      </c>
    </row>
    <row r="360" spans="2:6" x14ac:dyDescent="0.45">
      <c r="B360" s="10" t="s">
        <v>488</v>
      </c>
      <c r="C360">
        <v>1</v>
      </c>
      <c r="D360">
        <v>4</v>
      </c>
      <c r="E360">
        <v>3</v>
      </c>
      <c r="F360" t="s">
        <v>592</v>
      </c>
    </row>
    <row r="361" spans="2:6" x14ac:dyDescent="0.45">
      <c r="B361" s="10" t="s">
        <v>473</v>
      </c>
      <c r="C361">
        <v>1</v>
      </c>
      <c r="D361">
        <v>4</v>
      </c>
      <c r="E361">
        <v>3</v>
      </c>
      <c r="F361" t="s">
        <v>592</v>
      </c>
    </row>
    <row r="362" spans="2:6" x14ac:dyDescent="0.45">
      <c r="B362" s="10" t="s">
        <v>484</v>
      </c>
      <c r="C362">
        <v>0</v>
      </c>
      <c r="D362">
        <v>2</v>
      </c>
      <c r="E362">
        <v>2</v>
      </c>
      <c r="F362" t="s">
        <v>592</v>
      </c>
    </row>
    <row r="363" spans="2:6" x14ac:dyDescent="0.45">
      <c r="B363" s="10" t="s">
        <v>476</v>
      </c>
      <c r="C363">
        <v>6</v>
      </c>
      <c r="D363">
        <v>8</v>
      </c>
      <c r="E363">
        <v>2</v>
      </c>
      <c r="F363" t="s">
        <v>592</v>
      </c>
    </row>
    <row r="364" spans="2:6" x14ac:dyDescent="0.45">
      <c r="B364" s="10" t="s">
        <v>465</v>
      </c>
      <c r="C364">
        <v>17</v>
      </c>
      <c r="D364">
        <v>18</v>
      </c>
      <c r="E364">
        <v>1</v>
      </c>
      <c r="F364" t="s">
        <v>592</v>
      </c>
    </row>
    <row r="365" spans="2:6" x14ac:dyDescent="0.45">
      <c r="B365" s="10" t="s">
        <v>482</v>
      </c>
      <c r="C365">
        <v>1</v>
      </c>
      <c r="D365">
        <v>2</v>
      </c>
      <c r="E365">
        <v>1</v>
      </c>
      <c r="F365" t="s">
        <v>592</v>
      </c>
    </row>
    <row r="366" spans="2:6" x14ac:dyDescent="0.45">
      <c r="B366" s="10" t="s">
        <v>481</v>
      </c>
      <c r="C366">
        <v>0</v>
      </c>
      <c r="D366">
        <v>1</v>
      </c>
      <c r="E366">
        <v>1</v>
      </c>
      <c r="F366" t="s">
        <v>592</v>
      </c>
    </row>
    <row r="367" spans="2:6" x14ac:dyDescent="0.45">
      <c r="B367" s="10" t="s">
        <v>478</v>
      </c>
      <c r="C367">
        <v>1</v>
      </c>
      <c r="D367">
        <v>2</v>
      </c>
      <c r="E367">
        <v>1</v>
      </c>
      <c r="F367" t="s">
        <v>592</v>
      </c>
    </row>
    <row r="368" spans="2:6" x14ac:dyDescent="0.45">
      <c r="B368" s="10" t="s">
        <v>461</v>
      </c>
      <c r="C368">
        <v>1</v>
      </c>
      <c r="D368">
        <v>1</v>
      </c>
      <c r="E368">
        <v>0</v>
      </c>
      <c r="F368" t="s">
        <v>592</v>
      </c>
    </row>
    <row r="369" spans="2:6" x14ac:dyDescent="0.45">
      <c r="B369" s="10" t="s">
        <v>458</v>
      </c>
      <c r="C369">
        <v>1</v>
      </c>
      <c r="D369">
        <v>1</v>
      </c>
      <c r="E369">
        <v>0</v>
      </c>
      <c r="F369" t="s">
        <v>592</v>
      </c>
    </row>
    <row r="370" spans="2:6" x14ac:dyDescent="0.45">
      <c r="B370" s="10" t="s">
        <v>459</v>
      </c>
      <c r="C370">
        <v>2</v>
      </c>
      <c r="D370">
        <v>2</v>
      </c>
      <c r="E370">
        <v>0</v>
      </c>
      <c r="F370" t="s">
        <v>592</v>
      </c>
    </row>
    <row r="371" spans="2:6" x14ac:dyDescent="0.45">
      <c r="B371" s="10" t="s">
        <v>466</v>
      </c>
      <c r="C371">
        <v>3</v>
      </c>
      <c r="D371">
        <v>3</v>
      </c>
      <c r="E371">
        <v>0</v>
      </c>
      <c r="F371" t="s">
        <v>592</v>
      </c>
    </row>
    <row r="372" spans="2:6" x14ac:dyDescent="0.45">
      <c r="B372" s="10" t="s">
        <v>468</v>
      </c>
      <c r="C372">
        <v>1</v>
      </c>
      <c r="D372">
        <v>0</v>
      </c>
      <c r="E372">
        <v>-1</v>
      </c>
      <c r="F372" t="s">
        <v>592</v>
      </c>
    </row>
    <row r="373" spans="2:6" x14ac:dyDescent="0.45">
      <c r="B373" s="10" t="s">
        <v>483</v>
      </c>
      <c r="C373">
        <v>1</v>
      </c>
      <c r="D373">
        <v>0</v>
      </c>
      <c r="E373">
        <v>-1</v>
      </c>
      <c r="F373" t="s">
        <v>592</v>
      </c>
    </row>
    <row r="374" spans="2:6" x14ac:dyDescent="0.45">
      <c r="B374" s="10" t="s">
        <v>485</v>
      </c>
      <c r="C374">
        <v>1</v>
      </c>
      <c r="D374">
        <v>0</v>
      </c>
      <c r="E374">
        <v>-1</v>
      </c>
      <c r="F374" t="s">
        <v>592</v>
      </c>
    </row>
    <row r="375" spans="2:6" x14ac:dyDescent="0.45">
      <c r="B375" s="10" t="s">
        <v>464</v>
      </c>
      <c r="C375">
        <v>3</v>
      </c>
      <c r="D375">
        <v>2</v>
      </c>
      <c r="E375">
        <v>-1</v>
      </c>
      <c r="F375" t="s">
        <v>592</v>
      </c>
    </row>
    <row r="376" spans="2:6" x14ac:dyDescent="0.45">
      <c r="B376" s="10" t="s">
        <v>491</v>
      </c>
      <c r="C376">
        <v>1</v>
      </c>
      <c r="D376">
        <v>0</v>
      </c>
      <c r="E376">
        <v>-1</v>
      </c>
      <c r="F376" t="s">
        <v>592</v>
      </c>
    </row>
    <row r="377" spans="2:6" x14ac:dyDescent="0.45">
      <c r="B377" s="10" t="s">
        <v>479</v>
      </c>
      <c r="C377">
        <v>19</v>
      </c>
      <c r="D377">
        <v>18</v>
      </c>
      <c r="E377">
        <v>-1</v>
      </c>
      <c r="F377" t="s">
        <v>592</v>
      </c>
    </row>
    <row r="378" spans="2:6" x14ac:dyDescent="0.45">
      <c r="B378" s="10" t="s">
        <v>470</v>
      </c>
      <c r="C378">
        <v>3</v>
      </c>
      <c r="D378">
        <v>1</v>
      </c>
      <c r="E378">
        <v>-2</v>
      </c>
      <c r="F378" t="s">
        <v>592</v>
      </c>
    </row>
    <row r="379" spans="2:6" x14ac:dyDescent="0.45">
      <c r="B379" s="10" t="s">
        <v>477</v>
      </c>
      <c r="C379">
        <v>2</v>
      </c>
      <c r="D379">
        <v>0</v>
      </c>
      <c r="E379">
        <v>-2</v>
      </c>
      <c r="F379" t="s">
        <v>592</v>
      </c>
    </row>
    <row r="380" spans="2:6" x14ac:dyDescent="0.45">
      <c r="B380" s="10" t="s">
        <v>475</v>
      </c>
      <c r="C380">
        <v>4</v>
      </c>
      <c r="D380">
        <v>2</v>
      </c>
      <c r="E380">
        <v>-2</v>
      </c>
      <c r="F380" t="s">
        <v>592</v>
      </c>
    </row>
    <row r="381" spans="2:6" x14ac:dyDescent="0.45">
      <c r="B381" s="10" t="s">
        <v>455</v>
      </c>
      <c r="C381">
        <v>3</v>
      </c>
      <c r="D381">
        <v>1</v>
      </c>
      <c r="E381">
        <v>-2</v>
      </c>
      <c r="F381" t="s">
        <v>592</v>
      </c>
    </row>
    <row r="382" spans="2:6" x14ac:dyDescent="0.45">
      <c r="B382" s="10" t="s">
        <v>462</v>
      </c>
      <c r="C382">
        <v>10</v>
      </c>
      <c r="D382">
        <v>7</v>
      </c>
      <c r="E382">
        <v>-3</v>
      </c>
      <c r="F382" t="s">
        <v>592</v>
      </c>
    </row>
    <row r="383" spans="2:6" x14ac:dyDescent="0.45">
      <c r="B383" s="10" t="s">
        <v>490</v>
      </c>
      <c r="C383">
        <v>6</v>
      </c>
      <c r="D383">
        <v>3</v>
      </c>
      <c r="E383">
        <v>-3</v>
      </c>
      <c r="F383" t="s">
        <v>592</v>
      </c>
    </row>
    <row r="384" spans="2:6" x14ac:dyDescent="0.45">
      <c r="B384" s="10" t="s">
        <v>472</v>
      </c>
      <c r="C384">
        <v>6</v>
      </c>
      <c r="D384">
        <v>3</v>
      </c>
      <c r="E384">
        <v>-3</v>
      </c>
      <c r="F384" t="s">
        <v>592</v>
      </c>
    </row>
    <row r="385" spans="2:6" x14ac:dyDescent="0.45">
      <c r="B385" s="10" t="s">
        <v>480</v>
      </c>
      <c r="C385">
        <v>5</v>
      </c>
      <c r="D385">
        <v>2</v>
      </c>
      <c r="E385">
        <v>-3</v>
      </c>
      <c r="F385" t="s">
        <v>592</v>
      </c>
    </row>
    <row r="386" spans="2:6" x14ac:dyDescent="0.45">
      <c r="B386" s="10" t="s">
        <v>487</v>
      </c>
      <c r="C386">
        <v>4</v>
      </c>
      <c r="D386">
        <v>0</v>
      </c>
      <c r="E386">
        <v>-4</v>
      </c>
      <c r="F386" t="s">
        <v>592</v>
      </c>
    </row>
    <row r="387" spans="2:6" x14ac:dyDescent="0.45">
      <c r="B387" s="10" t="s">
        <v>471</v>
      </c>
      <c r="C387">
        <v>16</v>
      </c>
      <c r="D387">
        <v>11</v>
      </c>
      <c r="E387">
        <v>-5</v>
      </c>
      <c r="F387" t="s">
        <v>592</v>
      </c>
    </row>
    <row r="388" spans="2:6" x14ac:dyDescent="0.45">
      <c r="B388" s="10" t="s">
        <v>454</v>
      </c>
      <c r="C388">
        <v>16</v>
      </c>
      <c r="D388">
        <v>10</v>
      </c>
      <c r="E388">
        <v>-6</v>
      </c>
      <c r="F388" t="s">
        <v>592</v>
      </c>
    </row>
    <row r="389" spans="2:6" x14ac:dyDescent="0.45">
      <c r="B389" s="10" t="s">
        <v>463</v>
      </c>
      <c r="C389">
        <v>2</v>
      </c>
      <c r="D389">
        <v>-5</v>
      </c>
      <c r="E389">
        <v>-7</v>
      </c>
      <c r="F389" t="s">
        <v>592</v>
      </c>
    </row>
    <row r="390" spans="2:6" x14ac:dyDescent="0.45">
      <c r="B390" s="10" t="s">
        <v>456</v>
      </c>
      <c r="C390">
        <v>22</v>
      </c>
      <c r="D390">
        <v>14</v>
      </c>
      <c r="E390">
        <v>-8</v>
      </c>
      <c r="F390" t="s">
        <v>592</v>
      </c>
    </row>
    <row r="391" spans="2:6" x14ac:dyDescent="0.45">
      <c r="B391" s="10" t="s">
        <v>486</v>
      </c>
      <c r="C391">
        <v>15</v>
      </c>
      <c r="D391">
        <v>6</v>
      </c>
      <c r="E391">
        <v>-9</v>
      </c>
      <c r="F391" t="s">
        <v>592</v>
      </c>
    </row>
    <row r="392" spans="2:6" x14ac:dyDescent="0.45">
      <c r="B392" s="8" t="s">
        <v>51</v>
      </c>
      <c r="C392">
        <v>226</v>
      </c>
      <c r="D392">
        <v>174</v>
      </c>
      <c r="E392">
        <v>-52</v>
      </c>
    </row>
    <row r="393" spans="2:6" x14ac:dyDescent="0.45">
      <c r="B393" s="10" t="s">
        <v>412</v>
      </c>
      <c r="C393">
        <v>1</v>
      </c>
      <c r="D393">
        <v>6</v>
      </c>
      <c r="E393">
        <v>5</v>
      </c>
      <c r="F393" t="s">
        <v>592</v>
      </c>
    </row>
    <row r="394" spans="2:6" x14ac:dyDescent="0.45">
      <c r="B394" s="10" t="s">
        <v>424</v>
      </c>
      <c r="C394">
        <v>2</v>
      </c>
      <c r="D394">
        <v>5</v>
      </c>
      <c r="E394">
        <v>3</v>
      </c>
      <c r="F394" t="s">
        <v>592</v>
      </c>
    </row>
    <row r="395" spans="2:6" x14ac:dyDescent="0.45">
      <c r="B395" s="10" t="s">
        <v>435</v>
      </c>
      <c r="C395">
        <v>0</v>
      </c>
      <c r="D395">
        <v>3</v>
      </c>
      <c r="E395">
        <v>3</v>
      </c>
      <c r="F395" t="s">
        <v>592</v>
      </c>
    </row>
    <row r="396" spans="2:6" x14ac:dyDescent="0.45">
      <c r="B396" s="10" t="s">
        <v>437</v>
      </c>
      <c r="C396">
        <v>0</v>
      </c>
      <c r="D396">
        <v>3</v>
      </c>
      <c r="E396">
        <v>3</v>
      </c>
      <c r="F396" t="s">
        <v>592</v>
      </c>
    </row>
    <row r="397" spans="2:6" x14ac:dyDescent="0.45">
      <c r="B397" s="10" t="s">
        <v>436</v>
      </c>
      <c r="C397">
        <v>0</v>
      </c>
      <c r="D397">
        <v>2</v>
      </c>
      <c r="E397">
        <v>2</v>
      </c>
      <c r="F397" t="s">
        <v>592</v>
      </c>
    </row>
    <row r="398" spans="2:6" x14ac:dyDescent="0.45">
      <c r="B398" s="10" t="s">
        <v>434</v>
      </c>
      <c r="C398">
        <v>4</v>
      </c>
      <c r="D398">
        <v>6</v>
      </c>
      <c r="E398">
        <v>2</v>
      </c>
      <c r="F398" t="s">
        <v>592</v>
      </c>
    </row>
    <row r="399" spans="2:6" x14ac:dyDescent="0.45">
      <c r="B399" s="10" t="s">
        <v>413</v>
      </c>
      <c r="C399">
        <v>2</v>
      </c>
      <c r="D399">
        <v>4</v>
      </c>
      <c r="E399">
        <v>2</v>
      </c>
      <c r="F399" t="s">
        <v>592</v>
      </c>
    </row>
    <row r="400" spans="2:6" x14ac:dyDescent="0.45">
      <c r="B400" s="10" t="s">
        <v>429</v>
      </c>
      <c r="C400">
        <v>0</v>
      </c>
      <c r="D400">
        <v>1</v>
      </c>
      <c r="E400">
        <v>1</v>
      </c>
      <c r="F400" t="s">
        <v>592</v>
      </c>
    </row>
    <row r="401" spans="2:6" x14ac:dyDescent="0.45">
      <c r="B401" s="10" t="s">
        <v>417</v>
      </c>
      <c r="C401">
        <v>0</v>
      </c>
      <c r="D401">
        <v>1</v>
      </c>
      <c r="E401">
        <v>1</v>
      </c>
      <c r="F401" t="s">
        <v>592</v>
      </c>
    </row>
    <row r="402" spans="2:6" x14ac:dyDescent="0.45">
      <c r="B402" s="10" t="s">
        <v>411</v>
      </c>
      <c r="C402">
        <v>-1</v>
      </c>
      <c r="D402">
        <v>0</v>
      </c>
      <c r="E402">
        <v>1</v>
      </c>
      <c r="F402" t="s">
        <v>592</v>
      </c>
    </row>
    <row r="403" spans="2:6" x14ac:dyDescent="0.45">
      <c r="B403" s="10" t="s">
        <v>427</v>
      </c>
      <c r="C403">
        <v>4</v>
      </c>
      <c r="D403">
        <v>5</v>
      </c>
      <c r="E403">
        <v>1</v>
      </c>
      <c r="F403" t="s">
        <v>592</v>
      </c>
    </row>
    <row r="404" spans="2:6" x14ac:dyDescent="0.45">
      <c r="B404" s="10" t="s">
        <v>405</v>
      </c>
      <c r="C404">
        <v>0</v>
      </c>
      <c r="D404">
        <v>1</v>
      </c>
      <c r="E404">
        <v>1</v>
      </c>
      <c r="F404" t="s">
        <v>592</v>
      </c>
    </row>
    <row r="405" spans="2:6" x14ac:dyDescent="0.45">
      <c r="B405" s="10" t="s">
        <v>426</v>
      </c>
      <c r="C405">
        <v>0</v>
      </c>
      <c r="D405">
        <v>0</v>
      </c>
      <c r="E405">
        <v>0</v>
      </c>
      <c r="F405" t="s">
        <v>592</v>
      </c>
    </row>
    <row r="406" spans="2:6" x14ac:dyDescent="0.45">
      <c r="B406" s="10" t="s">
        <v>433</v>
      </c>
      <c r="C406">
        <v>16</v>
      </c>
      <c r="D406">
        <v>16</v>
      </c>
      <c r="E406">
        <v>0</v>
      </c>
      <c r="F406" t="s">
        <v>592</v>
      </c>
    </row>
    <row r="407" spans="2:6" x14ac:dyDescent="0.45">
      <c r="B407" s="10" t="s">
        <v>408</v>
      </c>
      <c r="C407">
        <v>1</v>
      </c>
      <c r="D407">
        <v>1</v>
      </c>
      <c r="E407">
        <v>0</v>
      </c>
      <c r="F407" t="s">
        <v>592</v>
      </c>
    </row>
    <row r="408" spans="2:6" x14ac:dyDescent="0.45">
      <c r="B408" s="10" t="s">
        <v>423</v>
      </c>
      <c r="C408">
        <v>1</v>
      </c>
      <c r="D408">
        <v>1</v>
      </c>
      <c r="E408">
        <v>0</v>
      </c>
      <c r="F408" t="s">
        <v>592</v>
      </c>
    </row>
    <row r="409" spans="2:6" x14ac:dyDescent="0.45">
      <c r="B409" s="10" t="s">
        <v>406</v>
      </c>
      <c r="C409">
        <v>1</v>
      </c>
      <c r="D409">
        <v>1</v>
      </c>
      <c r="E409">
        <v>0</v>
      </c>
      <c r="F409" t="s">
        <v>592</v>
      </c>
    </row>
    <row r="410" spans="2:6" x14ac:dyDescent="0.45">
      <c r="B410" s="10" t="s">
        <v>409</v>
      </c>
      <c r="C410">
        <v>1</v>
      </c>
      <c r="D410">
        <v>1</v>
      </c>
      <c r="E410">
        <v>0</v>
      </c>
      <c r="F410" t="s">
        <v>592</v>
      </c>
    </row>
    <row r="411" spans="2:6" x14ac:dyDescent="0.45">
      <c r="B411" s="10" t="s">
        <v>416</v>
      </c>
      <c r="C411">
        <v>7</v>
      </c>
      <c r="D411">
        <v>7</v>
      </c>
      <c r="E411">
        <v>0</v>
      </c>
      <c r="F411" t="s">
        <v>592</v>
      </c>
    </row>
    <row r="412" spans="2:6" x14ac:dyDescent="0.45">
      <c r="B412" s="10" t="s">
        <v>431</v>
      </c>
      <c r="C412">
        <v>2</v>
      </c>
      <c r="D412">
        <v>1</v>
      </c>
      <c r="E412">
        <v>-1</v>
      </c>
      <c r="F412" t="s">
        <v>592</v>
      </c>
    </row>
    <row r="413" spans="2:6" x14ac:dyDescent="0.45">
      <c r="B413" s="10" t="s">
        <v>418</v>
      </c>
      <c r="C413">
        <v>1</v>
      </c>
      <c r="D413">
        <v>0</v>
      </c>
      <c r="E413">
        <v>-1</v>
      </c>
      <c r="F413" t="s">
        <v>592</v>
      </c>
    </row>
    <row r="414" spans="2:6" x14ac:dyDescent="0.45">
      <c r="B414" s="10" t="s">
        <v>415</v>
      </c>
      <c r="C414">
        <v>1</v>
      </c>
      <c r="D414">
        <v>0</v>
      </c>
      <c r="E414">
        <v>-1</v>
      </c>
      <c r="F414" t="s">
        <v>592</v>
      </c>
    </row>
    <row r="415" spans="2:6" x14ac:dyDescent="0.45">
      <c r="B415" s="10" t="s">
        <v>420</v>
      </c>
      <c r="C415">
        <v>11</v>
      </c>
      <c r="D415">
        <v>9</v>
      </c>
      <c r="E415">
        <v>-2</v>
      </c>
      <c r="F415" t="s">
        <v>592</v>
      </c>
    </row>
    <row r="416" spans="2:6" x14ac:dyDescent="0.45">
      <c r="B416" s="10" t="s">
        <v>432</v>
      </c>
      <c r="C416">
        <v>2</v>
      </c>
      <c r="D416">
        <v>0</v>
      </c>
      <c r="E416">
        <v>-2</v>
      </c>
      <c r="F416" t="s">
        <v>592</v>
      </c>
    </row>
    <row r="417" spans="1:6" x14ac:dyDescent="0.45">
      <c r="B417" s="10" t="s">
        <v>430</v>
      </c>
      <c r="C417">
        <v>8</v>
      </c>
      <c r="D417">
        <v>6</v>
      </c>
      <c r="E417">
        <v>-2</v>
      </c>
      <c r="F417" t="s">
        <v>592</v>
      </c>
    </row>
    <row r="418" spans="1:6" x14ac:dyDescent="0.45">
      <c r="B418" s="10" t="s">
        <v>425</v>
      </c>
      <c r="C418">
        <v>2</v>
      </c>
      <c r="D418">
        <v>0</v>
      </c>
      <c r="E418">
        <v>-2</v>
      </c>
      <c r="F418" t="s">
        <v>592</v>
      </c>
    </row>
    <row r="419" spans="1:6" x14ac:dyDescent="0.45">
      <c r="B419" s="10" t="s">
        <v>421</v>
      </c>
      <c r="C419">
        <v>2</v>
      </c>
      <c r="D419">
        <v>0</v>
      </c>
      <c r="E419">
        <v>-2</v>
      </c>
      <c r="F419" t="s">
        <v>592</v>
      </c>
    </row>
    <row r="420" spans="1:6" x14ac:dyDescent="0.45">
      <c r="B420" s="10" t="s">
        <v>422</v>
      </c>
      <c r="C420">
        <v>23</v>
      </c>
      <c r="D420">
        <v>20</v>
      </c>
      <c r="E420">
        <v>-3</v>
      </c>
      <c r="F420" t="s">
        <v>592</v>
      </c>
    </row>
    <row r="421" spans="1:6" x14ac:dyDescent="0.45">
      <c r="B421" s="10" t="s">
        <v>438</v>
      </c>
      <c r="C421">
        <v>29</v>
      </c>
      <c r="D421">
        <v>24</v>
      </c>
      <c r="E421">
        <v>-5</v>
      </c>
      <c r="F421" t="s">
        <v>592</v>
      </c>
    </row>
    <row r="422" spans="1:6" x14ac:dyDescent="0.45">
      <c r="B422" s="10" t="s">
        <v>419</v>
      </c>
      <c r="C422">
        <v>6</v>
      </c>
      <c r="D422">
        <v>0</v>
      </c>
      <c r="E422">
        <v>-6</v>
      </c>
      <c r="F422" t="s">
        <v>592</v>
      </c>
    </row>
    <row r="423" spans="1:6" x14ac:dyDescent="0.45">
      <c r="B423" s="10" t="s">
        <v>414</v>
      </c>
      <c r="C423">
        <v>16</v>
      </c>
      <c r="D423">
        <v>7</v>
      </c>
      <c r="E423">
        <v>-9</v>
      </c>
      <c r="F423" t="s">
        <v>592</v>
      </c>
    </row>
    <row r="424" spans="1:6" x14ac:dyDescent="0.45">
      <c r="B424" s="10" t="s">
        <v>410</v>
      </c>
      <c r="C424">
        <v>16</v>
      </c>
      <c r="D424">
        <v>5</v>
      </c>
      <c r="E424">
        <v>-11</v>
      </c>
      <c r="F424" t="s">
        <v>592</v>
      </c>
    </row>
    <row r="425" spans="1:6" x14ac:dyDescent="0.45">
      <c r="B425" s="10" t="s">
        <v>407</v>
      </c>
      <c r="C425">
        <v>33</v>
      </c>
      <c r="D425">
        <v>19</v>
      </c>
      <c r="E425">
        <v>-14</v>
      </c>
      <c r="F425" t="s">
        <v>592</v>
      </c>
    </row>
    <row r="426" spans="1:6" x14ac:dyDescent="0.45">
      <c r="B426" s="10" t="s">
        <v>428</v>
      </c>
      <c r="C426">
        <v>35</v>
      </c>
      <c r="D426">
        <v>19</v>
      </c>
      <c r="E426">
        <v>-16</v>
      </c>
      <c r="F426" t="s">
        <v>592</v>
      </c>
    </row>
    <row r="427" spans="1:6" x14ac:dyDescent="0.45">
      <c r="B427" s="7" t="s">
        <v>23</v>
      </c>
      <c r="C427">
        <v>204</v>
      </c>
      <c r="D427">
        <v>147</v>
      </c>
      <c r="E427">
        <v>-57</v>
      </c>
    </row>
    <row r="428" spans="1:6" x14ac:dyDescent="0.45">
      <c r="B428" s="9" t="s">
        <v>24</v>
      </c>
      <c r="C428" s="4">
        <v>1</v>
      </c>
      <c r="D428" s="4">
        <v>13</v>
      </c>
      <c r="E428" s="4">
        <v>12</v>
      </c>
    </row>
    <row r="429" spans="1:6" x14ac:dyDescent="0.45">
      <c r="B429" s="10" t="s">
        <v>226</v>
      </c>
      <c r="C429">
        <v>0</v>
      </c>
      <c r="D429">
        <v>8</v>
      </c>
      <c r="E429">
        <v>8</v>
      </c>
      <c r="F429" t="s">
        <v>592</v>
      </c>
    </row>
    <row r="430" spans="1:6" x14ac:dyDescent="0.45">
      <c r="B430" s="10" t="s">
        <v>227</v>
      </c>
      <c r="C430">
        <v>1</v>
      </c>
      <c r="D430">
        <v>5</v>
      </c>
      <c r="E430">
        <v>4</v>
      </c>
      <c r="F430" t="s">
        <v>592</v>
      </c>
    </row>
    <row r="431" spans="1:6" x14ac:dyDescent="0.45">
      <c r="B431" s="8" t="s">
        <v>25</v>
      </c>
      <c r="C431">
        <v>203</v>
      </c>
      <c r="D431">
        <v>134</v>
      </c>
      <c r="E431">
        <v>-69</v>
      </c>
    </row>
    <row r="432" spans="1:6" x14ac:dyDescent="0.45">
      <c r="A432" t="s">
        <v>594</v>
      </c>
      <c r="B432" s="10" t="s">
        <v>228</v>
      </c>
      <c r="C432">
        <v>96</v>
      </c>
      <c r="D432">
        <v>70</v>
      </c>
      <c r="E432">
        <v>-26</v>
      </c>
    </row>
    <row r="433" spans="1:6" x14ac:dyDescent="0.45">
      <c r="B433" s="10" t="s">
        <v>229</v>
      </c>
      <c r="C433">
        <v>107</v>
      </c>
      <c r="D433">
        <v>64</v>
      </c>
      <c r="E433">
        <v>-43</v>
      </c>
    </row>
    <row r="434" spans="1:6" x14ac:dyDescent="0.45">
      <c r="B434" s="7" t="s">
        <v>33</v>
      </c>
      <c r="C434">
        <v>340</v>
      </c>
      <c r="D434">
        <v>272</v>
      </c>
      <c r="E434">
        <v>-68</v>
      </c>
    </row>
    <row r="435" spans="1:6" x14ac:dyDescent="0.45">
      <c r="B435" s="8" t="s">
        <v>34</v>
      </c>
      <c r="C435">
        <v>5</v>
      </c>
      <c r="D435">
        <v>3</v>
      </c>
      <c r="E435">
        <v>-2</v>
      </c>
    </row>
    <row r="436" spans="1:6" x14ac:dyDescent="0.45">
      <c r="B436" s="10" t="s">
        <v>272</v>
      </c>
      <c r="C436">
        <v>2</v>
      </c>
      <c r="D436">
        <v>2</v>
      </c>
      <c r="E436">
        <v>0</v>
      </c>
      <c r="F436" t="s">
        <v>592</v>
      </c>
    </row>
    <row r="437" spans="1:6" x14ac:dyDescent="0.45">
      <c r="B437" s="10" t="s">
        <v>271</v>
      </c>
      <c r="C437">
        <v>3</v>
      </c>
      <c r="D437">
        <v>1</v>
      </c>
      <c r="E437">
        <v>-2</v>
      </c>
      <c r="F437" t="s">
        <v>592</v>
      </c>
    </row>
    <row r="438" spans="1:6" x14ac:dyDescent="0.45">
      <c r="B438" s="8" t="s">
        <v>33</v>
      </c>
      <c r="C438">
        <v>335</v>
      </c>
      <c r="D438">
        <v>269</v>
      </c>
      <c r="E438">
        <v>-66</v>
      </c>
    </row>
    <row r="439" spans="1:6" x14ac:dyDescent="0.45">
      <c r="B439" s="10" t="s">
        <v>273</v>
      </c>
      <c r="C439">
        <v>4</v>
      </c>
      <c r="D439">
        <v>13</v>
      </c>
      <c r="E439">
        <v>9</v>
      </c>
    </row>
    <row r="440" spans="1:6" x14ac:dyDescent="0.45">
      <c r="B440" s="10" t="s">
        <v>276</v>
      </c>
      <c r="C440">
        <v>2</v>
      </c>
      <c r="D440">
        <v>3</v>
      </c>
      <c r="E440">
        <v>1</v>
      </c>
    </row>
    <row r="441" spans="1:6" x14ac:dyDescent="0.45">
      <c r="B441" s="10" t="s">
        <v>281</v>
      </c>
      <c r="C441">
        <v>3</v>
      </c>
      <c r="D441">
        <v>3</v>
      </c>
      <c r="E441">
        <v>0</v>
      </c>
    </row>
    <row r="442" spans="1:6" x14ac:dyDescent="0.45">
      <c r="B442" s="10" t="s">
        <v>274</v>
      </c>
      <c r="C442">
        <v>4</v>
      </c>
      <c r="D442">
        <v>0</v>
      </c>
      <c r="E442">
        <v>-4</v>
      </c>
    </row>
    <row r="443" spans="1:6" x14ac:dyDescent="0.45">
      <c r="B443" s="10" t="s">
        <v>282</v>
      </c>
      <c r="C443">
        <v>13</v>
      </c>
      <c r="D443">
        <v>8</v>
      </c>
      <c r="E443">
        <v>-5</v>
      </c>
    </row>
    <row r="444" spans="1:6" x14ac:dyDescent="0.45">
      <c r="B444" s="10" t="s">
        <v>278</v>
      </c>
      <c r="C444">
        <v>59</v>
      </c>
      <c r="D444">
        <v>53</v>
      </c>
      <c r="E444">
        <v>-6</v>
      </c>
      <c r="F444" t="s">
        <v>592</v>
      </c>
    </row>
    <row r="445" spans="1:6" x14ac:dyDescent="0.45">
      <c r="B445" s="10" t="s">
        <v>280</v>
      </c>
      <c r="C445">
        <v>8</v>
      </c>
      <c r="D445">
        <v>0</v>
      </c>
      <c r="E445">
        <v>-8</v>
      </c>
    </row>
    <row r="446" spans="1:6" x14ac:dyDescent="0.45">
      <c r="B446" s="10" t="s">
        <v>277</v>
      </c>
      <c r="C446">
        <v>17</v>
      </c>
      <c r="D446">
        <v>8</v>
      </c>
      <c r="E446">
        <v>-9</v>
      </c>
    </row>
    <row r="447" spans="1:6" x14ac:dyDescent="0.45">
      <c r="A447" t="s">
        <v>594</v>
      </c>
      <c r="B447" s="10" t="s">
        <v>279</v>
      </c>
      <c r="C447">
        <v>199</v>
      </c>
      <c r="D447">
        <v>177</v>
      </c>
      <c r="E447">
        <v>-22</v>
      </c>
    </row>
    <row r="448" spans="1:6" x14ac:dyDescent="0.45">
      <c r="B448" s="10" t="s">
        <v>275</v>
      </c>
      <c r="C448">
        <v>26</v>
      </c>
      <c r="D448">
        <v>4</v>
      </c>
      <c r="E448">
        <v>-22</v>
      </c>
    </row>
    <row r="449" spans="1:6" x14ac:dyDescent="0.45">
      <c r="B449" s="7" t="s">
        <v>26</v>
      </c>
      <c r="C449">
        <v>565</v>
      </c>
      <c r="D449">
        <v>448</v>
      </c>
      <c r="E449">
        <v>-117</v>
      </c>
    </row>
    <row r="450" spans="1:6" x14ac:dyDescent="0.45">
      <c r="B450" s="9" t="s">
        <v>29</v>
      </c>
      <c r="C450" s="4">
        <v>88</v>
      </c>
      <c r="D450" s="4">
        <v>98</v>
      </c>
      <c r="E450" s="4">
        <v>10</v>
      </c>
    </row>
    <row r="451" spans="1:6" x14ac:dyDescent="0.45">
      <c r="B451" s="11" t="s">
        <v>234</v>
      </c>
      <c r="C451" s="12">
        <v>84</v>
      </c>
      <c r="D451" s="12">
        <v>96</v>
      </c>
      <c r="E451" s="12">
        <v>12</v>
      </c>
    </row>
    <row r="452" spans="1:6" x14ac:dyDescent="0.45">
      <c r="B452" s="10" t="s">
        <v>233</v>
      </c>
      <c r="C452">
        <v>4</v>
      </c>
      <c r="D452">
        <v>2</v>
      </c>
      <c r="E452">
        <v>-2</v>
      </c>
    </row>
    <row r="453" spans="1:6" x14ac:dyDescent="0.45">
      <c r="B453" s="9" t="s">
        <v>27</v>
      </c>
      <c r="C453" s="4">
        <v>17</v>
      </c>
      <c r="D453" s="4">
        <v>24</v>
      </c>
      <c r="E453" s="4">
        <v>7</v>
      </c>
    </row>
    <row r="454" spans="1:6" x14ac:dyDescent="0.45">
      <c r="B454" s="10" t="s">
        <v>230</v>
      </c>
      <c r="C454">
        <v>17</v>
      </c>
      <c r="D454">
        <v>24</v>
      </c>
      <c r="E454">
        <v>7</v>
      </c>
    </row>
    <row r="455" spans="1:6" x14ac:dyDescent="0.45">
      <c r="B455" s="8" t="s">
        <v>30</v>
      </c>
      <c r="C455">
        <v>40</v>
      </c>
      <c r="D455">
        <v>27</v>
      </c>
      <c r="E455">
        <v>-13</v>
      </c>
    </row>
    <row r="456" spans="1:6" x14ac:dyDescent="0.45">
      <c r="B456" s="10" t="s">
        <v>235</v>
      </c>
      <c r="C456">
        <v>40</v>
      </c>
      <c r="D456">
        <v>27</v>
      </c>
      <c r="E456">
        <v>-13</v>
      </c>
    </row>
    <row r="457" spans="1:6" x14ac:dyDescent="0.45">
      <c r="B457" s="8" t="s">
        <v>28</v>
      </c>
      <c r="C457">
        <v>420</v>
      </c>
      <c r="D457">
        <v>299</v>
      </c>
      <c r="E457">
        <v>-121</v>
      </c>
    </row>
    <row r="458" spans="1:6" x14ac:dyDescent="0.45">
      <c r="B458" s="10" t="s">
        <v>231</v>
      </c>
      <c r="C458">
        <v>56</v>
      </c>
      <c r="D458">
        <v>41</v>
      </c>
      <c r="E458">
        <v>-15</v>
      </c>
    </row>
    <row r="459" spans="1:6" x14ac:dyDescent="0.45">
      <c r="A459" t="s">
        <v>594</v>
      </c>
      <c r="B459" s="10" t="s">
        <v>232</v>
      </c>
      <c r="C459">
        <v>364</v>
      </c>
      <c r="D459">
        <v>258</v>
      </c>
      <c r="E459">
        <v>-106</v>
      </c>
    </row>
    <row r="460" spans="1:6" x14ac:dyDescent="0.45">
      <c r="B460" s="7" t="s">
        <v>11</v>
      </c>
      <c r="C460">
        <v>358</v>
      </c>
      <c r="D460">
        <v>206</v>
      </c>
      <c r="E460">
        <v>-152</v>
      </c>
    </row>
    <row r="461" spans="1:6" x14ac:dyDescent="0.45">
      <c r="B461" s="8" t="s">
        <v>14</v>
      </c>
      <c r="C461">
        <v>2</v>
      </c>
      <c r="D461">
        <v>0</v>
      </c>
      <c r="E461">
        <v>-2</v>
      </c>
    </row>
    <row r="462" spans="1:6" x14ac:dyDescent="0.45">
      <c r="B462" s="10" t="s">
        <v>116</v>
      </c>
      <c r="C462">
        <v>2</v>
      </c>
      <c r="D462">
        <v>0</v>
      </c>
      <c r="E462">
        <v>-2</v>
      </c>
      <c r="F462" t="s">
        <v>592</v>
      </c>
    </row>
    <row r="463" spans="1:6" x14ac:dyDescent="0.45">
      <c r="B463" s="8" t="s">
        <v>12</v>
      </c>
      <c r="C463">
        <v>73</v>
      </c>
      <c r="D463">
        <v>49</v>
      </c>
      <c r="E463">
        <v>-24</v>
      </c>
    </row>
    <row r="464" spans="1:6" x14ac:dyDescent="0.45">
      <c r="B464" s="10" t="s">
        <v>103</v>
      </c>
      <c r="C464">
        <v>1</v>
      </c>
      <c r="D464">
        <v>4</v>
      </c>
      <c r="E464">
        <v>3</v>
      </c>
    </row>
    <row r="465" spans="1:5" x14ac:dyDescent="0.45">
      <c r="B465" s="10" t="s">
        <v>106</v>
      </c>
      <c r="C465">
        <v>3</v>
      </c>
      <c r="D465">
        <v>6</v>
      </c>
      <c r="E465">
        <v>3</v>
      </c>
    </row>
    <row r="466" spans="1:5" x14ac:dyDescent="0.45">
      <c r="B466" s="10" t="s">
        <v>99</v>
      </c>
      <c r="C466">
        <v>7</v>
      </c>
      <c r="D466">
        <v>10</v>
      </c>
      <c r="E466">
        <v>3</v>
      </c>
    </row>
    <row r="467" spans="1:5" x14ac:dyDescent="0.45">
      <c r="B467" s="10" t="s">
        <v>109</v>
      </c>
      <c r="C467">
        <v>3</v>
      </c>
      <c r="D467">
        <v>5</v>
      </c>
      <c r="E467">
        <v>2</v>
      </c>
    </row>
    <row r="468" spans="1:5" x14ac:dyDescent="0.45">
      <c r="B468" s="10" t="s">
        <v>102</v>
      </c>
      <c r="C468">
        <v>3</v>
      </c>
      <c r="D468">
        <v>4</v>
      </c>
      <c r="E468">
        <v>1</v>
      </c>
    </row>
    <row r="469" spans="1:5" x14ac:dyDescent="0.45">
      <c r="B469" s="10" t="s">
        <v>108</v>
      </c>
      <c r="C469">
        <v>1</v>
      </c>
      <c r="D469">
        <v>1</v>
      </c>
      <c r="E469">
        <v>0</v>
      </c>
    </row>
    <row r="470" spans="1:5" x14ac:dyDescent="0.45">
      <c r="B470" s="10" t="s">
        <v>105</v>
      </c>
      <c r="C470">
        <v>1</v>
      </c>
      <c r="D470">
        <v>0</v>
      </c>
      <c r="E470">
        <v>-1</v>
      </c>
    </row>
    <row r="471" spans="1:5" x14ac:dyDescent="0.45">
      <c r="B471" s="10" t="s">
        <v>107</v>
      </c>
      <c r="C471">
        <v>1</v>
      </c>
      <c r="D471">
        <v>0</v>
      </c>
      <c r="E471">
        <v>-1</v>
      </c>
    </row>
    <row r="472" spans="1:5" x14ac:dyDescent="0.45">
      <c r="B472" s="10" t="s">
        <v>104</v>
      </c>
      <c r="C472">
        <v>2</v>
      </c>
      <c r="D472">
        <v>0</v>
      </c>
      <c r="E472">
        <v>-2</v>
      </c>
    </row>
    <row r="473" spans="1:5" x14ac:dyDescent="0.45">
      <c r="B473" s="10" t="s">
        <v>100</v>
      </c>
      <c r="C473">
        <v>4</v>
      </c>
      <c r="D473">
        <v>1</v>
      </c>
      <c r="E473">
        <v>-3</v>
      </c>
    </row>
    <row r="474" spans="1:5" x14ac:dyDescent="0.45">
      <c r="A474" t="s">
        <v>594</v>
      </c>
      <c r="B474" s="10" t="s">
        <v>101</v>
      </c>
      <c r="C474">
        <v>47</v>
      </c>
      <c r="D474">
        <v>18</v>
      </c>
      <c r="E474">
        <v>-29</v>
      </c>
    </row>
    <row r="475" spans="1:5" x14ac:dyDescent="0.45">
      <c r="B475" s="8" t="s">
        <v>13</v>
      </c>
      <c r="C475">
        <v>283</v>
      </c>
      <c r="D475">
        <v>157</v>
      </c>
      <c r="E475">
        <v>-126</v>
      </c>
    </row>
    <row r="476" spans="1:5" x14ac:dyDescent="0.45">
      <c r="B476" s="10" t="s">
        <v>111</v>
      </c>
      <c r="C476">
        <v>1</v>
      </c>
      <c r="D476">
        <v>0</v>
      </c>
      <c r="E476">
        <v>-1</v>
      </c>
    </row>
    <row r="477" spans="1:5" x14ac:dyDescent="0.45">
      <c r="A477" t="s">
        <v>594</v>
      </c>
      <c r="B477" s="10" t="s">
        <v>115</v>
      </c>
      <c r="C477">
        <v>27</v>
      </c>
      <c r="D477">
        <v>24</v>
      </c>
      <c r="E477">
        <v>-3</v>
      </c>
    </row>
    <row r="478" spans="1:5" x14ac:dyDescent="0.45">
      <c r="B478" s="10" t="s">
        <v>110</v>
      </c>
      <c r="C478">
        <v>5</v>
      </c>
      <c r="D478">
        <v>1</v>
      </c>
      <c r="E478">
        <v>-4</v>
      </c>
    </row>
    <row r="479" spans="1:5" x14ac:dyDescent="0.45">
      <c r="B479" s="10" t="s">
        <v>112</v>
      </c>
      <c r="C479">
        <v>78</v>
      </c>
      <c r="D479">
        <v>57</v>
      </c>
      <c r="E479">
        <v>-21</v>
      </c>
    </row>
    <row r="480" spans="1:5" x14ac:dyDescent="0.45">
      <c r="B480" s="10" t="s">
        <v>114</v>
      </c>
      <c r="C480">
        <v>69</v>
      </c>
      <c r="D480">
        <v>31</v>
      </c>
      <c r="E480">
        <v>-38</v>
      </c>
    </row>
    <row r="481" spans="1:5" x14ac:dyDescent="0.45">
      <c r="A481" t="s">
        <v>594</v>
      </c>
      <c r="B481" s="10" t="s">
        <v>113</v>
      </c>
      <c r="C481">
        <v>103</v>
      </c>
      <c r="D481">
        <v>44</v>
      </c>
      <c r="E481">
        <v>-59</v>
      </c>
    </row>
    <row r="482" spans="1:5" x14ac:dyDescent="0.45">
      <c r="B482" s="7" t="s">
        <v>31</v>
      </c>
      <c r="C482">
        <v>1796</v>
      </c>
      <c r="D482">
        <v>1413</v>
      </c>
      <c r="E482">
        <v>-383</v>
      </c>
    </row>
    <row r="483" spans="1:5" x14ac:dyDescent="0.45">
      <c r="B483" s="8" t="s">
        <v>32</v>
      </c>
      <c r="C483">
        <v>1796</v>
      </c>
      <c r="D483">
        <v>1413</v>
      </c>
      <c r="E483">
        <v>-383</v>
      </c>
    </row>
    <row r="484" spans="1:5" x14ac:dyDescent="0.45">
      <c r="B484" s="11" t="s">
        <v>266</v>
      </c>
      <c r="C484" s="12">
        <v>53</v>
      </c>
      <c r="D484" s="12">
        <v>91</v>
      </c>
      <c r="E484" s="12">
        <v>38</v>
      </c>
    </row>
    <row r="485" spans="1:5" x14ac:dyDescent="0.45">
      <c r="B485" s="11" t="s">
        <v>251</v>
      </c>
      <c r="C485" s="12">
        <v>81</v>
      </c>
      <c r="D485" s="12">
        <v>103</v>
      </c>
      <c r="E485" s="12">
        <v>22</v>
      </c>
    </row>
    <row r="486" spans="1:5" x14ac:dyDescent="0.45">
      <c r="B486" s="11" t="s">
        <v>262</v>
      </c>
      <c r="C486" s="12">
        <v>84</v>
      </c>
      <c r="D486" s="12">
        <v>94</v>
      </c>
      <c r="E486" s="12">
        <v>10</v>
      </c>
    </row>
    <row r="487" spans="1:5" x14ac:dyDescent="0.45">
      <c r="B487" s="10" t="s">
        <v>255</v>
      </c>
      <c r="C487">
        <v>3</v>
      </c>
      <c r="D487">
        <v>8</v>
      </c>
      <c r="E487">
        <v>5</v>
      </c>
    </row>
    <row r="488" spans="1:5" x14ac:dyDescent="0.45">
      <c r="B488" s="10" t="s">
        <v>253</v>
      </c>
      <c r="C488">
        <v>-1</v>
      </c>
      <c r="D488">
        <v>3</v>
      </c>
      <c r="E488">
        <v>4</v>
      </c>
    </row>
    <row r="489" spans="1:5" x14ac:dyDescent="0.45">
      <c r="B489" s="10" t="s">
        <v>256</v>
      </c>
      <c r="C489">
        <v>14</v>
      </c>
      <c r="D489">
        <v>17</v>
      </c>
      <c r="E489">
        <v>3</v>
      </c>
    </row>
    <row r="490" spans="1:5" x14ac:dyDescent="0.45">
      <c r="B490" s="10" t="s">
        <v>258</v>
      </c>
      <c r="C490">
        <v>2</v>
      </c>
      <c r="D490">
        <v>4</v>
      </c>
      <c r="E490">
        <v>2</v>
      </c>
    </row>
    <row r="491" spans="1:5" x14ac:dyDescent="0.45">
      <c r="B491" s="10" t="s">
        <v>250</v>
      </c>
      <c r="C491">
        <v>3</v>
      </c>
      <c r="D491">
        <v>5</v>
      </c>
      <c r="E491">
        <v>2</v>
      </c>
    </row>
    <row r="492" spans="1:5" x14ac:dyDescent="0.45">
      <c r="B492" s="10" t="s">
        <v>260</v>
      </c>
      <c r="C492">
        <v>4</v>
      </c>
      <c r="D492">
        <v>5</v>
      </c>
      <c r="E492">
        <v>1</v>
      </c>
    </row>
    <row r="493" spans="1:5" x14ac:dyDescent="0.45">
      <c r="B493" s="10" t="s">
        <v>240</v>
      </c>
      <c r="C493">
        <v>0</v>
      </c>
      <c r="D493">
        <v>1</v>
      </c>
      <c r="E493">
        <v>1</v>
      </c>
    </row>
    <row r="494" spans="1:5" x14ac:dyDescent="0.45">
      <c r="B494" s="10" t="s">
        <v>238</v>
      </c>
      <c r="C494">
        <v>0</v>
      </c>
      <c r="D494">
        <v>0</v>
      </c>
      <c r="E494">
        <v>0</v>
      </c>
    </row>
    <row r="495" spans="1:5" x14ac:dyDescent="0.45">
      <c r="B495" s="10" t="s">
        <v>259</v>
      </c>
      <c r="C495">
        <v>26</v>
      </c>
      <c r="D495">
        <v>26</v>
      </c>
      <c r="E495">
        <v>0</v>
      </c>
    </row>
    <row r="496" spans="1:5" x14ac:dyDescent="0.45">
      <c r="B496" s="10" t="s">
        <v>257</v>
      </c>
      <c r="C496">
        <v>0</v>
      </c>
      <c r="D496">
        <v>0</v>
      </c>
      <c r="E496">
        <v>0</v>
      </c>
    </row>
    <row r="497" spans="2:5" x14ac:dyDescent="0.45">
      <c r="B497" s="10" t="s">
        <v>237</v>
      </c>
      <c r="C497">
        <v>1</v>
      </c>
      <c r="D497">
        <v>0</v>
      </c>
      <c r="E497">
        <v>-1</v>
      </c>
    </row>
    <row r="498" spans="2:5" x14ac:dyDescent="0.45">
      <c r="B498" s="10" t="s">
        <v>239</v>
      </c>
      <c r="C498">
        <v>16</v>
      </c>
      <c r="D498">
        <v>15</v>
      </c>
      <c r="E498">
        <v>-1</v>
      </c>
    </row>
    <row r="499" spans="2:5" x14ac:dyDescent="0.45">
      <c r="B499" s="10" t="s">
        <v>270</v>
      </c>
      <c r="C499">
        <v>6</v>
      </c>
      <c r="D499">
        <v>4</v>
      </c>
      <c r="E499">
        <v>-2</v>
      </c>
    </row>
    <row r="500" spans="2:5" x14ac:dyDescent="0.45">
      <c r="B500" s="10" t="s">
        <v>236</v>
      </c>
      <c r="C500">
        <v>48</v>
      </c>
      <c r="D500">
        <v>46</v>
      </c>
      <c r="E500">
        <v>-2</v>
      </c>
    </row>
    <row r="501" spans="2:5" x14ac:dyDescent="0.45">
      <c r="B501" s="10" t="s">
        <v>244</v>
      </c>
      <c r="C501">
        <v>38</v>
      </c>
      <c r="D501">
        <v>35</v>
      </c>
      <c r="E501">
        <v>-3</v>
      </c>
    </row>
    <row r="502" spans="2:5" x14ac:dyDescent="0.45">
      <c r="B502" s="10" t="s">
        <v>263</v>
      </c>
      <c r="C502">
        <v>7</v>
      </c>
      <c r="D502">
        <v>3</v>
      </c>
      <c r="E502">
        <v>-4</v>
      </c>
    </row>
    <row r="503" spans="2:5" x14ac:dyDescent="0.45">
      <c r="B503" s="10" t="s">
        <v>254</v>
      </c>
      <c r="C503">
        <v>14</v>
      </c>
      <c r="D503">
        <v>9</v>
      </c>
      <c r="E503">
        <v>-5</v>
      </c>
    </row>
    <row r="504" spans="2:5" x14ac:dyDescent="0.45">
      <c r="B504" s="10" t="s">
        <v>269</v>
      </c>
      <c r="C504">
        <v>54</v>
      </c>
      <c r="D504">
        <v>48</v>
      </c>
      <c r="E504">
        <v>-6</v>
      </c>
    </row>
    <row r="505" spans="2:5" x14ac:dyDescent="0.45">
      <c r="B505" s="10" t="s">
        <v>245</v>
      </c>
      <c r="C505">
        <v>16</v>
      </c>
      <c r="D505">
        <v>6</v>
      </c>
      <c r="E505">
        <v>-10</v>
      </c>
    </row>
    <row r="506" spans="2:5" x14ac:dyDescent="0.45">
      <c r="B506" s="10" t="s">
        <v>265</v>
      </c>
      <c r="C506">
        <v>47</v>
      </c>
      <c r="D506">
        <v>34</v>
      </c>
      <c r="E506">
        <v>-13</v>
      </c>
    </row>
    <row r="507" spans="2:5" x14ac:dyDescent="0.45">
      <c r="B507" s="10" t="s">
        <v>268</v>
      </c>
      <c r="C507">
        <v>63</v>
      </c>
      <c r="D507">
        <v>49</v>
      </c>
      <c r="E507">
        <v>-14</v>
      </c>
    </row>
    <row r="508" spans="2:5" x14ac:dyDescent="0.45">
      <c r="B508" s="10" t="s">
        <v>242</v>
      </c>
      <c r="C508">
        <v>73</v>
      </c>
      <c r="D508">
        <v>59</v>
      </c>
      <c r="E508">
        <v>-14</v>
      </c>
    </row>
    <row r="509" spans="2:5" x14ac:dyDescent="0.45">
      <c r="B509" s="10" t="s">
        <v>264</v>
      </c>
      <c r="C509">
        <v>17</v>
      </c>
      <c r="D509">
        <v>3</v>
      </c>
      <c r="E509">
        <v>-14</v>
      </c>
    </row>
    <row r="510" spans="2:5" x14ac:dyDescent="0.45">
      <c r="B510" s="10" t="s">
        <v>246</v>
      </c>
      <c r="C510">
        <v>23</v>
      </c>
      <c r="D510">
        <v>5</v>
      </c>
      <c r="E510">
        <v>-18</v>
      </c>
    </row>
    <row r="511" spans="2:5" x14ac:dyDescent="0.45">
      <c r="B511" s="10" t="s">
        <v>261</v>
      </c>
      <c r="C511">
        <v>85</v>
      </c>
      <c r="D511">
        <v>63</v>
      </c>
      <c r="E511">
        <v>-22</v>
      </c>
    </row>
    <row r="512" spans="2:5" x14ac:dyDescent="0.45">
      <c r="B512" s="10" t="s">
        <v>252</v>
      </c>
      <c r="C512">
        <v>43</v>
      </c>
      <c r="D512">
        <v>20</v>
      </c>
      <c r="E512">
        <v>-23</v>
      </c>
    </row>
    <row r="513" spans="1:5" x14ac:dyDescent="0.45">
      <c r="B513" s="10" t="s">
        <v>267</v>
      </c>
      <c r="C513">
        <v>52</v>
      </c>
      <c r="D513">
        <v>22</v>
      </c>
      <c r="E513">
        <v>-30</v>
      </c>
    </row>
    <row r="514" spans="1:5" x14ac:dyDescent="0.45">
      <c r="B514" s="10" t="s">
        <v>249</v>
      </c>
      <c r="C514">
        <v>85</v>
      </c>
      <c r="D514">
        <v>51</v>
      </c>
      <c r="E514">
        <v>-34</v>
      </c>
    </row>
    <row r="515" spans="1:5" x14ac:dyDescent="0.45">
      <c r="B515" s="10" t="s">
        <v>243</v>
      </c>
      <c r="C515">
        <v>124</v>
      </c>
      <c r="D515">
        <v>82</v>
      </c>
      <c r="E515">
        <v>-42</v>
      </c>
    </row>
    <row r="516" spans="1:5" x14ac:dyDescent="0.45">
      <c r="B516" s="10" t="s">
        <v>247</v>
      </c>
      <c r="C516">
        <v>100</v>
      </c>
      <c r="D516">
        <v>38</v>
      </c>
      <c r="E516">
        <v>-62</v>
      </c>
    </row>
    <row r="517" spans="1:5" x14ac:dyDescent="0.45">
      <c r="B517" s="10" t="s">
        <v>248</v>
      </c>
      <c r="C517">
        <v>120</v>
      </c>
      <c r="D517">
        <v>52</v>
      </c>
      <c r="E517">
        <v>-68</v>
      </c>
    </row>
    <row r="518" spans="1:5" x14ac:dyDescent="0.45">
      <c r="B518" s="10" t="s">
        <v>241</v>
      </c>
      <c r="C518">
        <v>495</v>
      </c>
      <c r="D518">
        <v>412</v>
      </c>
      <c r="E518">
        <v>-83</v>
      </c>
    </row>
    <row r="519" spans="1:5" x14ac:dyDescent="0.45">
      <c r="B519" s="7" t="s">
        <v>7</v>
      </c>
      <c r="C519">
        <v>1834</v>
      </c>
      <c r="D519">
        <v>1190</v>
      </c>
      <c r="E519">
        <v>-644</v>
      </c>
    </row>
    <row r="520" spans="1:5" x14ac:dyDescent="0.45">
      <c r="B520" s="8" t="s">
        <v>9</v>
      </c>
      <c r="C520">
        <v>422</v>
      </c>
      <c r="D520">
        <v>286</v>
      </c>
      <c r="E520">
        <v>-136</v>
      </c>
    </row>
    <row r="521" spans="1:5" x14ac:dyDescent="0.45">
      <c r="B521" s="10" t="s">
        <v>89</v>
      </c>
      <c r="C521">
        <v>33</v>
      </c>
      <c r="D521">
        <v>25</v>
      </c>
      <c r="E521">
        <v>-8</v>
      </c>
    </row>
    <row r="522" spans="1:5" x14ac:dyDescent="0.45">
      <c r="B522" s="10" t="s">
        <v>91</v>
      </c>
      <c r="C522">
        <v>29</v>
      </c>
      <c r="D522">
        <v>21</v>
      </c>
      <c r="E522">
        <v>-8</v>
      </c>
    </row>
    <row r="523" spans="1:5" x14ac:dyDescent="0.45">
      <c r="B523" s="10" t="s">
        <v>90</v>
      </c>
      <c r="C523">
        <v>67</v>
      </c>
      <c r="D523">
        <v>39</v>
      </c>
      <c r="E523">
        <v>-28</v>
      </c>
    </row>
    <row r="524" spans="1:5" x14ac:dyDescent="0.45">
      <c r="A524" t="s">
        <v>594</v>
      </c>
      <c r="B524" s="10" t="s">
        <v>92</v>
      </c>
      <c r="C524">
        <v>293</v>
      </c>
      <c r="D524">
        <v>201</v>
      </c>
      <c r="E524">
        <v>-92</v>
      </c>
    </row>
    <row r="525" spans="1:5" x14ac:dyDescent="0.45">
      <c r="B525" s="8" t="s">
        <v>10</v>
      </c>
      <c r="C525">
        <v>539</v>
      </c>
      <c r="D525">
        <v>383</v>
      </c>
      <c r="E525">
        <v>-156</v>
      </c>
    </row>
    <row r="526" spans="1:5" x14ac:dyDescent="0.45">
      <c r="A526" t="s">
        <v>594</v>
      </c>
      <c r="B526" s="10" t="s">
        <v>96</v>
      </c>
      <c r="C526">
        <v>91</v>
      </c>
      <c r="D526">
        <v>80</v>
      </c>
      <c r="E526">
        <v>-11</v>
      </c>
    </row>
    <row r="527" spans="1:5" x14ac:dyDescent="0.45">
      <c r="A527" t="s">
        <v>594</v>
      </c>
      <c r="B527" s="10" t="s">
        <v>93</v>
      </c>
      <c r="C527">
        <v>80</v>
      </c>
      <c r="D527">
        <v>66</v>
      </c>
      <c r="E527">
        <v>-14</v>
      </c>
    </row>
    <row r="528" spans="1:5" x14ac:dyDescent="0.45">
      <c r="B528" s="10" t="s">
        <v>97</v>
      </c>
      <c r="C528">
        <v>36</v>
      </c>
      <c r="D528">
        <v>22</v>
      </c>
      <c r="E528">
        <v>-14</v>
      </c>
    </row>
    <row r="529" spans="1:5" x14ac:dyDescent="0.45">
      <c r="B529" s="10" t="s">
        <v>94</v>
      </c>
      <c r="C529">
        <v>43</v>
      </c>
      <c r="D529">
        <v>22</v>
      </c>
      <c r="E529">
        <v>-21</v>
      </c>
    </row>
    <row r="530" spans="1:5" x14ac:dyDescent="0.45">
      <c r="B530" s="10" t="s">
        <v>95</v>
      </c>
      <c r="C530">
        <v>114</v>
      </c>
      <c r="D530">
        <v>76</v>
      </c>
      <c r="E530">
        <v>-38</v>
      </c>
    </row>
    <row r="531" spans="1:5" x14ac:dyDescent="0.45">
      <c r="B531" s="10" t="s">
        <v>98</v>
      </c>
      <c r="C531">
        <v>175</v>
      </c>
      <c r="D531">
        <v>117</v>
      </c>
      <c r="E531">
        <v>-58</v>
      </c>
    </row>
    <row r="532" spans="1:5" x14ac:dyDescent="0.45">
      <c r="B532" s="8" t="s">
        <v>8</v>
      </c>
      <c r="C532">
        <v>873</v>
      </c>
      <c r="D532">
        <v>521</v>
      </c>
      <c r="E532">
        <v>-352</v>
      </c>
    </row>
    <row r="533" spans="1:5" x14ac:dyDescent="0.45">
      <c r="B533" s="10" t="s">
        <v>85</v>
      </c>
      <c r="C533">
        <v>50</v>
      </c>
      <c r="D533">
        <v>29</v>
      </c>
      <c r="E533">
        <v>-21</v>
      </c>
    </row>
    <row r="534" spans="1:5" x14ac:dyDescent="0.45">
      <c r="B534" s="10" t="s">
        <v>87</v>
      </c>
      <c r="C534">
        <v>57</v>
      </c>
      <c r="D534">
        <v>28</v>
      </c>
      <c r="E534">
        <v>-29</v>
      </c>
    </row>
    <row r="535" spans="1:5" x14ac:dyDescent="0.45">
      <c r="B535" s="10" t="s">
        <v>86</v>
      </c>
      <c r="C535">
        <v>113</v>
      </c>
      <c r="D535">
        <v>42</v>
      </c>
      <c r="E535">
        <v>-71</v>
      </c>
    </row>
    <row r="536" spans="1:5" x14ac:dyDescent="0.45">
      <c r="A536" t="s">
        <v>594</v>
      </c>
      <c r="B536" s="10" t="s">
        <v>88</v>
      </c>
      <c r="C536">
        <v>653</v>
      </c>
      <c r="D536">
        <v>422</v>
      </c>
      <c r="E536">
        <v>-231</v>
      </c>
    </row>
    <row r="537" spans="1:5" x14ac:dyDescent="0.45">
      <c r="B537" s="7" t="s">
        <v>44</v>
      </c>
      <c r="C537">
        <v>3162</v>
      </c>
      <c r="D537">
        <v>1708</v>
      </c>
      <c r="E537">
        <v>-1454</v>
      </c>
    </row>
    <row r="538" spans="1:5" x14ac:dyDescent="0.45">
      <c r="B538" s="8" t="s">
        <v>47</v>
      </c>
      <c r="C538">
        <v>90</v>
      </c>
      <c r="D538">
        <v>64</v>
      </c>
      <c r="E538">
        <v>-26</v>
      </c>
    </row>
    <row r="539" spans="1:5" x14ac:dyDescent="0.45">
      <c r="B539" s="10" t="s">
        <v>397</v>
      </c>
      <c r="C539">
        <v>4</v>
      </c>
      <c r="D539">
        <v>8</v>
      </c>
      <c r="E539">
        <v>4</v>
      </c>
    </row>
    <row r="540" spans="1:5" x14ac:dyDescent="0.45">
      <c r="B540" s="10" t="s">
        <v>394</v>
      </c>
      <c r="C540">
        <v>3</v>
      </c>
      <c r="D540">
        <v>5</v>
      </c>
      <c r="E540">
        <v>2</v>
      </c>
    </row>
    <row r="541" spans="1:5" x14ac:dyDescent="0.45">
      <c r="B541" s="10" t="s">
        <v>395</v>
      </c>
      <c r="C541">
        <v>2</v>
      </c>
      <c r="D541">
        <v>4</v>
      </c>
      <c r="E541">
        <v>2</v>
      </c>
    </row>
    <row r="542" spans="1:5" x14ac:dyDescent="0.45">
      <c r="B542" s="10" t="s">
        <v>392</v>
      </c>
      <c r="C542">
        <v>20</v>
      </c>
      <c r="D542">
        <v>20</v>
      </c>
      <c r="E542">
        <v>0</v>
      </c>
    </row>
    <row r="543" spans="1:5" x14ac:dyDescent="0.45">
      <c r="B543" s="10" t="s">
        <v>391</v>
      </c>
      <c r="C543">
        <v>11</v>
      </c>
      <c r="D543">
        <v>8</v>
      </c>
      <c r="E543">
        <v>-3</v>
      </c>
    </row>
    <row r="544" spans="1:5" x14ac:dyDescent="0.45">
      <c r="B544" s="10" t="s">
        <v>396</v>
      </c>
      <c r="C544">
        <v>14</v>
      </c>
      <c r="D544">
        <v>7</v>
      </c>
      <c r="E544">
        <v>-7</v>
      </c>
    </row>
    <row r="545" spans="1:5" x14ac:dyDescent="0.45">
      <c r="B545" s="10" t="s">
        <v>393</v>
      </c>
      <c r="C545">
        <v>14</v>
      </c>
      <c r="D545">
        <v>6</v>
      </c>
      <c r="E545">
        <v>-8</v>
      </c>
    </row>
    <row r="546" spans="1:5" x14ac:dyDescent="0.45">
      <c r="B546" s="10" t="s">
        <v>390</v>
      </c>
      <c r="C546">
        <v>22</v>
      </c>
      <c r="D546">
        <v>6</v>
      </c>
      <c r="E546">
        <v>-16</v>
      </c>
    </row>
    <row r="547" spans="1:5" x14ac:dyDescent="0.45">
      <c r="B547" s="8" t="s">
        <v>46</v>
      </c>
      <c r="C547">
        <v>910</v>
      </c>
      <c r="D547">
        <v>465</v>
      </c>
      <c r="E547">
        <v>-445</v>
      </c>
    </row>
    <row r="548" spans="1:5" x14ac:dyDescent="0.45">
      <c r="B548" s="10" t="s">
        <v>387</v>
      </c>
      <c r="C548">
        <v>13</v>
      </c>
      <c r="D548">
        <v>5</v>
      </c>
      <c r="E548">
        <v>-8</v>
      </c>
    </row>
    <row r="549" spans="1:5" x14ac:dyDescent="0.45">
      <c r="B549" s="10" t="s">
        <v>386</v>
      </c>
      <c r="C549">
        <v>26</v>
      </c>
      <c r="D549">
        <v>4</v>
      </c>
      <c r="E549">
        <v>-22</v>
      </c>
    </row>
    <row r="550" spans="1:5" x14ac:dyDescent="0.45">
      <c r="A550" t="s">
        <v>594</v>
      </c>
      <c r="B550" s="10" t="s">
        <v>388</v>
      </c>
      <c r="C550">
        <v>98</v>
      </c>
      <c r="D550">
        <v>73</v>
      </c>
      <c r="E550">
        <v>-25</v>
      </c>
    </row>
    <row r="551" spans="1:5" x14ac:dyDescent="0.45">
      <c r="A551" t="s">
        <v>594</v>
      </c>
      <c r="B551" s="10" t="s">
        <v>389</v>
      </c>
      <c r="C551">
        <v>83</v>
      </c>
      <c r="D551">
        <v>51</v>
      </c>
      <c r="E551">
        <v>-32</v>
      </c>
    </row>
    <row r="552" spans="1:5" x14ac:dyDescent="0.45">
      <c r="B552" s="10" t="s">
        <v>382</v>
      </c>
      <c r="C552">
        <v>64</v>
      </c>
      <c r="D552">
        <v>22</v>
      </c>
      <c r="E552">
        <v>-42</v>
      </c>
    </row>
    <row r="553" spans="1:5" x14ac:dyDescent="0.45">
      <c r="B553" s="10" t="s">
        <v>383</v>
      </c>
      <c r="C553">
        <v>73</v>
      </c>
      <c r="D553">
        <v>28</v>
      </c>
      <c r="E553">
        <v>-45</v>
      </c>
    </row>
    <row r="554" spans="1:5" x14ac:dyDescent="0.45">
      <c r="A554" t="s">
        <v>594</v>
      </c>
      <c r="B554" s="10" t="s">
        <v>385</v>
      </c>
      <c r="C554">
        <v>285</v>
      </c>
      <c r="D554">
        <v>167</v>
      </c>
      <c r="E554">
        <v>-118</v>
      </c>
    </row>
    <row r="555" spans="1:5" x14ac:dyDescent="0.45">
      <c r="A555" t="s">
        <v>594</v>
      </c>
      <c r="B555" s="10" t="s">
        <v>384</v>
      </c>
      <c r="C555">
        <v>268</v>
      </c>
      <c r="D555">
        <v>115</v>
      </c>
      <c r="E555">
        <v>-153</v>
      </c>
    </row>
    <row r="556" spans="1:5" x14ac:dyDescent="0.45">
      <c r="B556" s="8" t="s">
        <v>48</v>
      </c>
      <c r="C556">
        <v>1053</v>
      </c>
      <c r="D556">
        <v>585</v>
      </c>
      <c r="E556">
        <v>-468</v>
      </c>
    </row>
    <row r="557" spans="1:5" x14ac:dyDescent="0.45">
      <c r="B557" s="10" t="s">
        <v>49</v>
      </c>
      <c r="C557">
        <v>14</v>
      </c>
      <c r="D557">
        <v>18</v>
      </c>
      <c r="E557">
        <v>4</v>
      </c>
    </row>
    <row r="558" spans="1:5" x14ac:dyDescent="0.45">
      <c r="B558" s="10" t="s">
        <v>403</v>
      </c>
      <c r="C558">
        <v>42</v>
      </c>
      <c r="D558">
        <v>29</v>
      </c>
      <c r="E558">
        <v>-13</v>
      </c>
    </row>
    <row r="559" spans="1:5" x14ac:dyDescent="0.45">
      <c r="B559" s="10" t="s">
        <v>402</v>
      </c>
      <c r="C559">
        <v>79</v>
      </c>
      <c r="D559">
        <v>38</v>
      </c>
      <c r="E559">
        <v>-41</v>
      </c>
    </row>
    <row r="560" spans="1:5" x14ac:dyDescent="0.45">
      <c r="B560" s="10" t="s">
        <v>401</v>
      </c>
      <c r="C560">
        <v>113</v>
      </c>
      <c r="D560">
        <v>71</v>
      </c>
      <c r="E560">
        <v>-42</v>
      </c>
    </row>
    <row r="561" spans="1:5" x14ac:dyDescent="0.45">
      <c r="B561" s="10" t="s">
        <v>400</v>
      </c>
      <c r="C561">
        <v>173</v>
      </c>
      <c r="D561">
        <v>119</v>
      </c>
      <c r="E561">
        <v>-54</v>
      </c>
    </row>
    <row r="562" spans="1:5" x14ac:dyDescent="0.45">
      <c r="B562" s="10" t="s">
        <v>404</v>
      </c>
      <c r="C562">
        <v>141</v>
      </c>
      <c r="D562">
        <v>78</v>
      </c>
      <c r="E562">
        <v>-63</v>
      </c>
    </row>
    <row r="563" spans="1:5" x14ac:dyDescent="0.45">
      <c r="B563" s="10" t="s">
        <v>399</v>
      </c>
      <c r="C563">
        <v>152</v>
      </c>
      <c r="D563">
        <v>88</v>
      </c>
      <c r="E563">
        <v>-64</v>
      </c>
    </row>
    <row r="564" spans="1:5" x14ac:dyDescent="0.45">
      <c r="B564" s="10" t="s">
        <v>398</v>
      </c>
      <c r="C564">
        <v>339</v>
      </c>
      <c r="D564">
        <v>144</v>
      </c>
      <c r="E564">
        <v>-195</v>
      </c>
    </row>
    <row r="565" spans="1:5" x14ac:dyDescent="0.45">
      <c r="B565" s="8" t="s">
        <v>45</v>
      </c>
      <c r="C565">
        <v>1109</v>
      </c>
      <c r="D565">
        <v>594</v>
      </c>
      <c r="E565">
        <v>-515</v>
      </c>
    </row>
    <row r="566" spans="1:5" x14ac:dyDescent="0.45">
      <c r="B566" s="10" t="s">
        <v>379</v>
      </c>
      <c r="C566">
        <v>6</v>
      </c>
      <c r="D566">
        <v>7</v>
      </c>
      <c r="E566">
        <v>1</v>
      </c>
    </row>
    <row r="567" spans="1:5" x14ac:dyDescent="0.45">
      <c r="B567" s="10" t="s">
        <v>378</v>
      </c>
      <c r="C567">
        <v>6</v>
      </c>
      <c r="D567">
        <v>2</v>
      </c>
      <c r="E567">
        <v>-4</v>
      </c>
    </row>
    <row r="568" spans="1:5" x14ac:dyDescent="0.45">
      <c r="A568" t="s">
        <v>594</v>
      </c>
      <c r="B568" s="10" t="s">
        <v>381</v>
      </c>
      <c r="C568">
        <v>46</v>
      </c>
      <c r="D568">
        <v>30</v>
      </c>
      <c r="E568">
        <v>-16</v>
      </c>
    </row>
    <row r="569" spans="1:5" x14ac:dyDescent="0.45">
      <c r="B569" s="10" t="s">
        <v>380</v>
      </c>
      <c r="C569">
        <v>37</v>
      </c>
      <c r="D569">
        <v>19</v>
      </c>
      <c r="E569">
        <v>-18</v>
      </c>
    </row>
    <row r="570" spans="1:5" x14ac:dyDescent="0.45">
      <c r="A570" t="s">
        <v>594</v>
      </c>
      <c r="B570" s="10" t="s">
        <v>374</v>
      </c>
      <c r="C570">
        <v>75</v>
      </c>
      <c r="D570">
        <v>33</v>
      </c>
      <c r="E570">
        <v>-42</v>
      </c>
    </row>
    <row r="571" spans="1:5" x14ac:dyDescent="0.45">
      <c r="A571" t="s">
        <v>594</v>
      </c>
      <c r="B571" s="10" t="s">
        <v>375</v>
      </c>
      <c r="C571">
        <v>101</v>
      </c>
      <c r="D571">
        <v>58</v>
      </c>
      <c r="E571">
        <v>-43</v>
      </c>
    </row>
    <row r="572" spans="1:5" x14ac:dyDescent="0.45">
      <c r="A572" t="s">
        <v>594</v>
      </c>
      <c r="B572" s="10" t="s">
        <v>376</v>
      </c>
      <c r="C572">
        <v>330</v>
      </c>
      <c r="D572">
        <v>163</v>
      </c>
      <c r="E572">
        <v>-167</v>
      </c>
    </row>
    <row r="573" spans="1:5" x14ac:dyDescent="0.45">
      <c r="A573" t="s">
        <v>594</v>
      </c>
      <c r="B573" s="10" t="s">
        <v>377</v>
      </c>
      <c r="C573">
        <v>508</v>
      </c>
      <c r="D573">
        <v>282</v>
      </c>
      <c r="E573">
        <v>-226</v>
      </c>
    </row>
    <row r="574" spans="1:5" x14ac:dyDescent="0.45">
      <c r="B574" s="7" t="s">
        <v>584</v>
      </c>
      <c r="C574">
        <v>23544</v>
      </c>
      <c r="D574">
        <v>17830</v>
      </c>
      <c r="E574">
        <v>-2857</v>
      </c>
    </row>
  </sheetData>
  <phoneticPr fontId="2" type="noConversion"/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2E96F-4A25-4B76-959D-C151D526BA48}">
  <dimension ref="A3:B77"/>
  <sheetViews>
    <sheetView tabSelected="1" topLeftCell="A52" workbookViewId="0">
      <selection activeCell="B22" activeCellId="3" sqref="B18 B19 B21 B22"/>
    </sheetView>
  </sheetViews>
  <sheetFormatPr defaultRowHeight="19.2" x14ac:dyDescent="0.45"/>
  <cols>
    <col min="1" max="1" width="22.81640625" bestFit="1" customWidth="1"/>
    <col min="2" max="2" width="21.453125" bestFit="1" customWidth="1"/>
  </cols>
  <sheetData>
    <row r="3" spans="1:2" x14ac:dyDescent="0.45">
      <c r="A3" s="6" t="s">
        <v>582</v>
      </c>
      <c r="B3" t="s">
        <v>586</v>
      </c>
    </row>
    <row r="4" spans="1:2" x14ac:dyDescent="0.45">
      <c r="A4" s="7" t="s">
        <v>7</v>
      </c>
      <c r="B4">
        <v>1190</v>
      </c>
    </row>
    <row r="5" spans="1:2" x14ac:dyDescent="0.45">
      <c r="A5" s="8" t="s">
        <v>8</v>
      </c>
      <c r="B5">
        <v>521</v>
      </c>
    </row>
    <row r="6" spans="1:2" x14ac:dyDescent="0.45">
      <c r="A6" s="8" t="s">
        <v>9</v>
      </c>
      <c r="B6">
        <v>286</v>
      </c>
    </row>
    <row r="7" spans="1:2" x14ac:dyDescent="0.45">
      <c r="A7" s="8" t="s">
        <v>10</v>
      </c>
      <c r="B7">
        <v>383</v>
      </c>
    </row>
    <row r="8" spans="1:2" x14ac:dyDescent="0.45">
      <c r="A8" s="7" t="s">
        <v>72</v>
      </c>
      <c r="B8">
        <v>11</v>
      </c>
    </row>
    <row r="9" spans="1:2" x14ac:dyDescent="0.45">
      <c r="A9" s="8" t="s">
        <v>72</v>
      </c>
      <c r="B9">
        <v>11</v>
      </c>
    </row>
    <row r="10" spans="1:2" x14ac:dyDescent="0.45">
      <c r="A10" s="7" t="s">
        <v>11</v>
      </c>
      <c r="B10">
        <v>206</v>
      </c>
    </row>
    <row r="11" spans="1:2" x14ac:dyDescent="0.45">
      <c r="A11" s="8" t="s">
        <v>12</v>
      </c>
      <c r="B11">
        <v>49</v>
      </c>
    </row>
    <row r="12" spans="1:2" x14ac:dyDescent="0.45">
      <c r="A12" s="8" t="s">
        <v>13</v>
      </c>
      <c r="B12">
        <v>157</v>
      </c>
    </row>
    <row r="13" spans="1:2" x14ac:dyDescent="0.45">
      <c r="A13" s="8" t="s">
        <v>14</v>
      </c>
      <c r="B13">
        <v>0</v>
      </c>
    </row>
    <row r="14" spans="1:2" x14ac:dyDescent="0.45">
      <c r="A14" s="7" t="s">
        <v>15</v>
      </c>
      <c r="B14">
        <v>298</v>
      </c>
    </row>
    <row r="15" spans="1:2" x14ac:dyDescent="0.45">
      <c r="A15" s="8" t="s">
        <v>16</v>
      </c>
      <c r="B15">
        <v>39</v>
      </c>
    </row>
    <row r="16" spans="1:2" x14ac:dyDescent="0.45">
      <c r="A16" s="8" t="s">
        <v>15</v>
      </c>
      <c r="B16">
        <v>259</v>
      </c>
    </row>
    <row r="17" spans="1:2" x14ac:dyDescent="0.45">
      <c r="A17" s="7" t="s">
        <v>17</v>
      </c>
      <c r="B17">
        <v>600</v>
      </c>
    </row>
    <row r="18" spans="1:2" x14ac:dyDescent="0.45">
      <c r="A18" s="8" t="s">
        <v>18</v>
      </c>
      <c r="B18">
        <v>52</v>
      </c>
    </row>
    <row r="19" spans="1:2" x14ac:dyDescent="0.45">
      <c r="A19" s="8" t="s">
        <v>19</v>
      </c>
      <c r="B19">
        <v>52</v>
      </c>
    </row>
    <row r="20" spans="1:2" x14ac:dyDescent="0.45">
      <c r="A20" s="8" t="s">
        <v>20</v>
      </c>
      <c r="B20">
        <v>12</v>
      </c>
    </row>
    <row r="21" spans="1:2" x14ac:dyDescent="0.45">
      <c r="A21" s="8" t="s">
        <v>21</v>
      </c>
      <c r="B21">
        <v>329</v>
      </c>
    </row>
    <row r="22" spans="1:2" x14ac:dyDescent="0.45">
      <c r="A22" s="8" t="s">
        <v>22</v>
      </c>
      <c r="B22">
        <v>155</v>
      </c>
    </row>
    <row r="23" spans="1:2" x14ac:dyDescent="0.45">
      <c r="A23" s="7" t="s">
        <v>23</v>
      </c>
      <c r="B23">
        <v>147</v>
      </c>
    </row>
    <row r="24" spans="1:2" x14ac:dyDescent="0.45">
      <c r="A24" s="8" t="s">
        <v>24</v>
      </c>
      <c r="B24">
        <v>13</v>
      </c>
    </row>
    <row r="25" spans="1:2" x14ac:dyDescent="0.45">
      <c r="A25" s="8" t="s">
        <v>25</v>
      </c>
      <c r="B25">
        <v>134</v>
      </c>
    </row>
    <row r="26" spans="1:2" x14ac:dyDescent="0.45">
      <c r="A26" s="7" t="s">
        <v>26</v>
      </c>
      <c r="B26">
        <v>448</v>
      </c>
    </row>
    <row r="27" spans="1:2" x14ac:dyDescent="0.45">
      <c r="A27" s="8" t="s">
        <v>27</v>
      </c>
      <c r="B27">
        <v>24</v>
      </c>
    </row>
    <row r="28" spans="1:2" x14ac:dyDescent="0.45">
      <c r="A28" s="8" t="s">
        <v>28</v>
      </c>
      <c r="B28">
        <v>299</v>
      </c>
    </row>
    <row r="29" spans="1:2" x14ac:dyDescent="0.45">
      <c r="A29" s="8" t="s">
        <v>29</v>
      </c>
      <c r="B29">
        <v>98</v>
      </c>
    </row>
    <row r="30" spans="1:2" x14ac:dyDescent="0.45">
      <c r="A30" s="8" t="s">
        <v>30</v>
      </c>
      <c r="B30">
        <v>27</v>
      </c>
    </row>
    <row r="31" spans="1:2" x14ac:dyDescent="0.45">
      <c r="A31" s="7" t="s">
        <v>31</v>
      </c>
      <c r="B31">
        <v>1413</v>
      </c>
    </row>
    <row r="32" spans="1:2" x14ac:dyDescent="0.45">
      <c r="A32" s="8" t="s">
        <v>32</v>
      </c>
      <c r="B32">
        <v>1413</v>
      </c>
    </row>
    <row r="33" spans="1:2" x14ac:dyDescent="0.45">
      <c r="A33" s="7" t="s">
        <v>33</v>
      </c>
      <c r="B33">
        <v>272</v>
      </c>
    </row>
    <row r="34" spans="1:2" x14ac:dyDescent="0.45">
      <c r="A34" s="8" t="s">
        <v>34</v>
      </c>
      <c r="B34">
        <v>3</v>
      </c>
    </row>
    <row r="35" spans="1:2" x14ac:dyDescent="0.45">
      <c r="A35" s="8" t="s">
        <v>33</v>
      </c>
      <c r="B35">
        <v>269</v>
      </c>
    </row>
    <row r="36" spans="1:2" x14ac:dyDescent="0.45">
      <c r="A36" s="7" t="s">
        <v>35</v>
      </c>
      <c r="B36">
        <v>1861</v>
      </c>
    </row>
    <row r="37" spans="1:2" x14ac:dyDescent="0.45">
      <c r="A37" s="8" t="s">
        <v>43</v>
      </c>
      <c r="B37">
        <v>64</v>
      </c>
    </row>
    <row r="38" spans="1:2" x14ac:dyDescent="0.45">
      <c r="A38" s="8" t="s">
        <v>36</v>
      </c>
      <c r="B38">
        <v>149</v>
      </c>
    </row>
    <row r="39" spans="1:2" x14ac:dyDescent="0.45">
      <c r="A39" s="8" t="s">
        <v>37</v>
      </c>
      <c r="B39">
        <v>98</v>
      </c>
    </row>
    <row r="40" spans="1:2" x14ac:dyDescent="0.45">
      <c r="A40" s="8" t="s">
        <v>38</v>
      </c>
      <c r="B40">
        <v>45</v>
      </c>
    </row>
    <row r="41" spans="1:2" x14ac:dyDescent="0.45">
      <c r="A41" s="8" t="s">
        <v>39</v>
      </c>
      <c r="B41">
        <v>608</v>
      </c>
    </row>
    <row r="42" spans="1:2" x14ac:dyDescent="0.45">
      <c r="A42" s="8" t="s">
        <v>40</v>
      </c>
      <c r="B42">
        <v>1</v>
      </c>
    </row>
    <row r="43" spans="1:2" x14ac:dyDescent="0.45">
      <c r="A43" s="8" t="s">
        <v>41</v>
      </c>
      <c r="B43">
        <v>876</v>
      </c>
    </row>
    <row r="44" spans="1:2" x14ac:dyDescent="0.45">
      <c r="A44" s="8" t="s">
        <v>42</v>
      </c>
      <c r="B44">
        <v>20</v>
      </c>
    </row>
    <row r="45" spans="1:2" x14ac:dyDescent="0.45">
      <c r="A45" s="7" t="s">
        <v>44</v>
      </c>
      <c r="B45">
        <v>1708</v>
      </c>
    </row>
    <row r="46" spans="1:2" x14ac:dyDescent="0.45">
      <c r="A46" s="8" t="s">
        <v>45</v>
      </c>
      <c r="B46">
        <v>594</v>
      </c>
    </row>
    <row r="47" spans="1:2" x14ac:dyDescent="0.45">
      <c r="A47" s="8" t="s">
        <v>46</v>
      </c>
      <c r="B47">
        <v>465</v>
      </c>
    </row>
    <row r="48" spans="1:2" x14ac:dyDescent="0.45">
      <c r="A48" s="8" t="s">
        <v>47</v>
      </c>
      <c r="B48">
        <v>64</v>
      </c>
    </row>
    <row r="49" spans="1:2" x14ac:dyDescent="0.45">
      <c r="A49" s="8" t="s">
        <v>48</v>
      </c>
      <c r="B49">
        <v>585</v>
      </c>
    </row>
    <row r="50" spans="1:2" x14ac:dyDescent="0.45">
      <c r="A50" s="7" t="s">
        <v>50</v>
      </c>
      <c r="B50">
        <v>418</v>
      </c>
    </row>
    <row r="51" spans="1:2" x14ac:dyDescent="0.45">
      <c r="A51" s="8" t="s">
        <v>51</v>
      </c>
      <c r="B51">
        <v>174</v>
      </c>
    </row>
    <row r="52" spans="1:2" x14ac:dyDescent="0.45">
      <c r="A52" s="8" t="s">
        <v>52</v>
      </c>
      <c r="B52">
        <v>32</v>
      </c>
    </row>
    <row r="53" spans="1:2" x14ac:dyDescent="0.45">
      <c r="A53" s="8" t="s">
        <v>53</v>
      </c>
      <c r="B53">
        <v>212</v>
      </c>
    </row>
    <row r="54" spans="1:2" x14ac:dyDescent="0.45">
      <c r="A54" s="7" t="s">
        <v>54</v>
      </c>
      <c r="B54">
        <v>108</v>
      </c>
    </row>
    <row r="55" spans="1:2" x14ac:dyDescent="0.45">
      <c r="A55" s="8" t="s">
        <v>54</v>
      </c>
      <c r="B55">
        <v>108</v>
      </c>
    </row>
    <row r="56" spans="1:2" x14ac:dyDescent="0.45">
      <c r="A56" s="7" t="s">
        <v>55</v>
      </c>
      <c r="B56">
        <v>74</v>
      </c>
    </row>
    <row r="57" spans="1:2" x14ac:dyDescent="0.45">
      <c r="A57" s="8" t="s">
        <v>56</v>
      </c>
      <c r="B57">
        <v>16</v>
      </c>
    </row>
    <row r="58" spans="1:2" x14ac:dyDescent="0.45">
      <c r="A58" s="8" t="s">
        <v>57</v>
      </c>
      <c r="B58">
        <v>3</v>
      </c>
    </row>
    <row r="59" spans="1:2" x14ac:dyDescent="0.45">
      <c r="A59" s="8" t="s">
        <v>58</v>
      </c>
      <c r="B59">
        <v>1</v>
      </c>
    </row>
    <row r="60" spans="1:2" x14ac:dyDescent="0.45">
      <c r="A60" s="8" t="s">
        <v>59</v>
      </c>
      <c r="B60">
        <v>4</v>
      </c>
    </row>
    <row r="61" spans="1:2" x14ac:dyDescent="0.45">
      <c r="A61" s="8" t="s">
        <v>60</v>
      </c>
      <c r="B61">
        <v>0</v>
      </c>
    </row>
    <row r="62" spans="1:2" x14ac:dyDescent="0.45">
      <c r="A62" s="8" t="s">
        <v>61</v>
      </c>
      <c r="B62">
        <v>13</v>
      </c>
    </row>
    <row r="63" spans="1:2" x14ac:dyDescent="0.45">
      <c r="A63" s="8" t="s">
        <v>62</v>
      </c>
      <c r="B63">
        <v>9</v>
      </c>
    </row>
    <row r="64" spans="1:2" x14ac:dyDescent="0.45">
      <c r="A64" s="8" t="s">
        <v>63</v>
      </c>
      <c r="B64">
        <v>14</v>
      </c>
    </row>
    <row r="65" spans="1:2" x14ac:dyDescent="0.45">
      <c r="A65" s="8" t="s">
        <v>64</v>
      </c>
      <c r="B65">
        <v>3</v>
      </c>
    </row>
    <row r="66" spans="1:2" x14ac:dyDescent="0.45">
      <c r="A66" s="8" t="s">
        <v>65</v>
      </c>
      <c r="B66">
        <v>11</v>
      </c>
    </row>
    <row r="67" spans="1:2" x14ac:dyDescent="0.45">
      <c r="A67" s="7" t="s">
        <v>66</v>
      </c>
      <c r="B67">
        <v>152</v>
      </c>
    </row>
    <row r="68" spans="1:2" x14ac:dyDescent="0.45">
      <c r="A68" s="8" t="s">
        <v>67</v>
      </c>
      <c r="B68">
        <v>0</v>
      </c>
    </row>
    <row r="69" spans="1:2" x14ac:dyDescent="0.45">
      <c r="A69" s="8" t="s">
        <v>51</v>
      </c>
      <c r="B69">
        <v>22</v>
      </c>
    </row>
    <row r="70" spans="1:2" x14ac:dyDescent="0.45">
      <c r="A70" s="8" t="s">
        <v>68</v>
      </c>
      <c r="B70">
        <v>50</v>
      </c>
    </row>
    <row r="71" spans="1:2" x14ac:dyDescent="0.45">
      <c r="A71" s="8" t="s">
        <v>69</v>
      </c>
      <c r="B71">
        <v>6</v>
      </c>
    </row>
    <row r="72" spans="1:2" x14ac:dyDescent="0.45">
      <c r="A72" s="8" t="s">
        <v>70</v>
      </c>
      <c r="B72">
        <v>74</v>
      </c>
    </row>
    <row r="73" spans="1:2" x14ac:dyDescent="0.45">
      <c r="A73" s="7" t="s">
        <v>71</v>
      </c>
      <c r="B73">
        <v>9</v>
      </c>
    </row>
    <row r="74" spans="1:2" x14ac:dyDescent="0.45">
      <c r="A74" s="8" t="s">
        <v>71</v>
      </c>
      <c r="B74">
        <v>9</v>
      </c>
    </row>
    <row r="75" spans="1:2" x14ac:dyDescent="0.45">
      <c r="A75" s="7" t="s">
        <v>583</v>
      </c>
      <c r="B75">
        <v>8915</v>
      </c>
    </row>
    <row r="76" spans="1:2" x14ac:dyDescent="0.45">
      <c r="A76" s="8" t="s">
        <v>583</v>
      </c>
      <c r="B76">
        <v>8915</v>
      </c>
    </row>
    <row r="77" spans="1:2" x14ac:dyDescent="0.45">
      <c r="A77" s="7" t="s">
        <v>584</v>
      </c>
      <c r="B77">
        <v>17830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0"/>
  <sheetViews>
    <sheetView workbookViewId="0">
      <selection sqref="A1:XFD1048576"/>
    </sheetView>
  </sheetViews>
  <sheetFormatPr defaultRowHeight="19.2" x14ac:dyDescent="0.45"/>
  <cols>
    <col min="1" max="1" width="13.36328125" bestFit="1" customWidth="1"/>
    <col min="2" max="2" width="17.453125" bestFit="1" customWidth="1"/>
    <col min="3" max="3" width="29.453125" customWidth="1"/>
    <col min="4" max="4" width="13.453125" customWidth="1"/>
    <col min="5" max="5" width="12.6328125" customWidth="1"/>
    <col min="6" max="6" width="15.453125" bestFit="1" customWidth="1"/>
    <col min="7" max="7" width="15.54296875" customWidth="1"/>
    <col min="8" max="8" width="15.7265625" customWidth="1"/>
    <col min="9" max="9" width="14.7265625" customWidth="1"/>
    <col min="10" max="10" width="12.453125" customWidth="1"/>
    <col min="11" max="11" width="12" customWidth="1"/>
    <col min="12" max="12" width="15.08984375" customWidth="1"/>
    <col min="13" max="13" width="12.36328125" customWidth="1"/>
    <col min="14" max="14" width="18.36328125" customWidth="1"/>
    <col min="15" max="15" width="14.54296875" customWidth="1"/>
    <col min="16" max="16" width="9.54296875" bestFit="1" customWidth="1"/>
    <col min="17" max="17" width="14.26953125" bestFit="1" customWidth="1"/>
    <col min="18" max="18" width="11.7265625" bestFit="1" customWidth="1"/>
    <col min="19" max="19" width="14.26953125" bestFit="1" customWidth="1"/>
  </cols>
  <sheetData>
    <row r="1" spans="1:19" x14ac:dyDescent="0.45">
      <c r="A1" t="s">
        <v>0</v>
      </c>
      <c r="B1" t="s">
        <v>1</v>
      </c>
      <c r="C1" t="s">
        <v>2</v>
      </c>
      <c r="D1" s="2" t="s">
        <v>73</v>
      </c>
      <c r="E1" s="2" t="s">
        <v>74</v>
      </c>
      <c r="F1" s="2" t="s">
        <v>75</v>
      </c>
      <c r="G1" s="2" t="s">
        <v>76</v>
      </c>
      <c r="H1" s="2" t="s">
        <v>77</v>
      </c>
      <c r="I1" s="2" t="s">
        <v>78</v>
      </c>
      <c r="J1" s="4" t="s">
        <v>79</v>
      </c>
      <c r="K1" s="4" t="s">
        <v>80</v>
      </c>
      <c r="L1" s="4" t="s">
        <v>81</v>
      </c>
      <c r="M1" s="4" t="s">
        <v>82</v>
      </c>
      <c r="N1" s="4" t="s">
        <v>83</v>
      </c>
      <c r="O1" s="4" t="s">
        <v>84</v>
      </c>
      <c r="P1" t="s">
        <v>3</v>
      </c>
      <c r="Q1" t="s">
        <v>4</v>
      </c>
      <c r="R1" t="s">
        <v>5</v>
      </c>
      <c r="S1" t="s">
        <v>6</v>
      </c>
    </row>
    <row r="2" spans="1:19" x14ac:dyDescent="0.45">
      <c r="A2" t="s">
        <v>7</v>
      </c>
      <c r="B2" t="s">
        <v>8</v>
      </c>
      <c r="C2" t="s">
        <v>85</v>
      </c>
      <c r="D2" s="2">
        <v>40</v>
      </c>
      <c r="E2" s="2">
        <v>50</v>
      </c>
      <c r="F2" s="2">
        <v>8742070</v>
      </c>
      <c r="G2" s="3">
        <v>0.15535789919525625</v>
      </c>
      <c r="H2" s="3">
        <v>0.47600872410032713</v>
      </c>
      <c r="I2" s="3">
        <v>5.7273768613974797E-2</v>
      </c>
      <c r="J2" s="4">
        <v>23</v>
      </c>
      <c r="K2" s="4">
        <v>29</v>
      </c>
      <c r="L2" s="4">
        <v>5093760</v>
      </c>
      <c r="M2" s="5">
        <v>0.1334828939988783</v>
      </c>
      <c r="N2" s="5">
        <v>0.43781512605042017</v>
      </c>
      <c r="O2" s="5">
        <v>5.5662188099808059E-2</v>
      </c>
      <c r="P2">
        <v>-21</v>
      </c>
      <c r="Q2" s="1">
        <v>-0.42</v>
      </c>
      <c r="R2">
        <v>-3648310</v>
      </c>
      <c r="S2" s="1">
        <v>-0.41732793262922857</v>
      </c>
    </row>
    <row r="3" spans="1:19" x14ac:dyDescent="0.45">
      <c r="A3" t="s">
        <v>7</v>
      </c>
      <c r="B3" t="s">
        <v>8</v>
      </c>
      <c r="C3" t="s">
        <v>86</v>
      </c>
      <c r="D3" s="2">
        <v>109</v>
      </c>
      <c r="E3" s="2">
        <v>113</v>
      </c>
      <c r="F3" s="2">
        <v>23417450</v>
      </c>
      <c r="G3" s="3">
        <v>0.15535789919525625</v>
      </c>
      <c r="H3" s="3">
        <v>0.47600872410032713</v>
      </c>
      <c r="I3" s="3">
        <v>0.12943871706758306</v>
      </c>
      <c r="J3" s="4">
        <v>41</v>
      </c>
      <c r="K3" s="4">
        <v>42</v>
      </c>
      <c r="L3" s="4">
        <v>8769020</v>
      </c>
      <c r="M3" s="5">
        <v>0.1334828939988783</v>
      </c>
      <c r="N3" s="5">
        <v>0.43781512605042017</v>
      </c>
      <c r="O3" s="5">
        <v>8.0614203454894437E-2</v>
      </c>
      <c r="P3">
        <v>-71</v>
      </c>
      <c r="Q3" s="1">
        <v>-0.62831858407079644</v>
      </c>
      <c r="R3">
        <v>-14648430</v>
      </c>
      <c r="S3" s="1">
        <v>-0.62553480417381058</v>
      </c>
    </row>
    <row r="4" spans="1:19" x14ac:dyDescent="0.45">
      <c r="A4" t="s">
        <v>7</v>
      </c>
      <c r="B4" t="s">
        <v>8</v>
      </c>
      <c r="C4" t="s">
        <v>87</v>
      </c>
      <c r="D4" s="2">
        <v>33</v>
      </c>
      <c r="E4" s="2">
        <v>57</v>
      </c>
      <c r="F4" s="2">
        <v>10874080</v>
      </c>
      <c r="G4" s="3">
        <v>0.15535789919525625</v>
      </c>
      <c r="H4" s="3">
        <v>0.47600872410032713</v>
      </c>
      <c r="I4" s="3">
        <v>6.5292096219931275E-2</v>
      </c>
      <c r="J4" s="4">
        <v>21</v>
      </c>
      <c r="K4" s="4">
        <v>28</v>
      </c>
      <c r="L4" s="4">
        <v>5303130</v>
      </c>
      <c r="M4" s="5">
        <v>0.1334828939988783</v>
      </c>
      <c r="N4" s="5">
        <v>0.43781512605042017</v>
      </c>
      <c r="O4" s="5">
        <v>5.3742802303262956E-2</v>
      </c>
      <c r="P4">
        <v>-29</v>
      </c>
      <c r="Q4" s="1">
        <v>-0.50877192982456143</v>
      </c>
      <c r="R4">
        <v>-5570950</v>
      </c>
      <c r="S4" s="1">
        <v>-0.51231460500566484</v>
      </c>
    </row>
    <row r="5" spans="1:19" x14ac:dyDescent="0.45">
      <c r="A5" t="s">
        <v>7</v>
      </c>
      <c r="B5" t="s">
        <v>8</v>
      </c>
      <c r="C5" t="s">
        <v>88</v>
      </c>
      <c r="D5" s="2">
        <v>596</v>
      </c>
      <c r="E5" s="2">
        <v>653</v>
      </c>
      <c r="F5" s="2">
        <v>145870450</v>
      </c>
      <c r="G5" s="3">
        <v>0.15535789919525625</v>
      </c>
      <c r="H5" s="3">
        <v>0.47600872410032713</v>
      </c>
      <c r="I5" s="3">
        <v>0.74799541809851089</v>
      </c>
      <c r="J5" s="4">
        <v>363</v>
      </c>
      <c r="K5" s="4">
        <v>422</v>
      </c>
      <c r="L5" s="4">
        <v>94176910</v>
      </c>
      <c r="M5" s="5">
        <v>0.1334828939988783</v>
      </c>
      <c r="N5" s="5">
        <v>0.43781512605042017</v>
      </c>
      <c r="O5" s="5">
        <v>0.8099808061420346</v>
      </c>
      <c r="P5">
        <v>-231</v>
      </c>
      <c r="Q5" s="1">
        <v>-0.35375191424196017</v>
      </c>
      <c r="R5">
        <v>-51693540</v>
      </c>
      <c r="S5" s="1">
        <v>-0.3543797938513249</v>
      </c>
    </row>
    <row r="6" spans="1:19" x14ac:dyDescent="0.45">
      <c r="A6" t="s">
        <v>7</v>
      </c>
      <c r="B6" t="s">
        <v>9</v>
      </c>
      <c r="C6" t="s">
        <v>89</v>
      </c>
      <c r="D6" s="2">
        <v>33</v>
      </c>
      <c r="E6" s="2">
        <v>33</v>
      </c>
      <c r="F6" s="2">
        <v>7155360</v>
      </c>
      <c r="G6" s="3">
        <v>0.15535789919525625</v>
      </c>
      <c r="H6" s="3">
        <v>0.23009814612868049</v>
      </c>
      <c r="I6" s="3">
        <v>7.8199052132701424E-2</v>
      </c>
      <c r="J6" s="4">
        <v>24</v>
      </c>
      <c r="K6" s="4">
        <v>25</v>
      </c>
      <c r="L6" s="4">
        <v>5543280</v>
      </c>
      <c r="M6" s="5">
        <v>0.1334828939988783</v>
      </c>
      <c r="N6" s="5">
        <v>0.24033613445378152</v>
      </c>
      <c r="O6" s="5">
        <v>8.7412587412587409E-2</v>
      </c>
      <c r="P6">
        <v>-8</v>
      </c>
      <c r="Q6" s="1">
        <v>-0.24242424242424243</v>
      </c>
      <c r="R6">
        <v>-1612080</v>
      </c>
      <c r="S6" s="1">
        <v>-0.22529684041054537</v>
      </c>
    </row>
    <row r="7" spans="1:19" x14ac:dyDescent="0.45">
      <c r="A7" t="s">
        <v>7</v>
      </c>
      <c r="B7" t="s">
        <v>9</v>
      </c>
      <c r="C7" t="s">
        <v>90</v>
      </c>
      <c r="D7" s="2">
        <v>63</v>
      </c>
      <c r="E7" s="2">
        <v>67</v>
      </c>
      <c r="F7" s="2">
        <v>17790760</v>
      </c>
      <c r="G7" s="3">
        <v>0.15535789919525625</v>
      </c>
      <c r="H7" s="3">
        <v>0.23009814612868049</v>
      </c>
      <c r="I7" s="3">
        <v>0.15876777251184834</v>
      </c>
      <c r="J7" s="4">
        <v>38</v>
      </c>
      <c r="K7" s="4">
        <v>39</v>
      </c>
      <c r="L7" s="4">
        <v>10229990</v>
      </c>
      <c r="M7" s="5">
        <v>0.1334828939988783</v>
      </c>
      <c r="N7" s="5">
        <v>0.24033613445378152</v>
      </c>
      <c r="O7" s="5">
        <v>0.13636363636363635</v>
      </c>
      <c r="P7">
        <v>-28</v>
      </c>
      <c r="Q7" s="1">
        <v>-0.41791044776119401</v>
      </c>
      <c r="R7">
        <v>-7560770</v>
      </c>
      <c r="S7" s="1">
        <v>-0.42498296868711621</v>
      </c>
    </row>
    <row r="8" spans="1:19" x14ac:dyDescent="0.45">
      <c r="A8" t="s">
        <v>7</v>
      </c>
      <c r="B8" t="s">
        <v>9</v>
      </c>
      <c r="C8" t="s">
        <v>91</v>
      </c>
      <c r="D8" s="2">
        <v>27</v>
      </c>
      <c r="E8" s="2">
        <v>29</v>
      </c>
      <c r="F8" s="2">
        <v>7427410</v>
      </c>
      <c r="G8" s="3">
        <v>0.15535789919525625</v>
      </c>
      <c r="H8" s="3">
        <v>0.23009814612868049</v>
      </c>
      <c r="I8" s="3">
        <v>6.8720379146919433E-2</v>
      </c>
      <c r="J8" s="4">
        <v>15</v>
      </c>
      <c r="K8" s="4">
        <v>21</v>
      </c>
      <c r="L8" s="4">
        <v>5557800</v>
      </c>
      <c r="M8" s="5">
        <v>0.1334828939988783</v>
      </c>
      <c r="N8" s="5">
        <v>0.24033613445378152</v>
      </c>
      <c r="O8" s="5">
        <v>7.3426573426573424E-2</v>
      </c>
      <c r="P8">
        <v>-8</v>
      </c>
      <c r="Q8" s="1">
        <v>-0.27586206896551724</v>
      </c>
      <c r="R8">
        <v>-1869610</v>
      </c>
      <c r="S8" s="1">
        <v>-0.25171762431318589</v>
      </c>
    </row>
    <row r="9" spans="1:19" x14ac:dyDescent="0.45">
      <c r="A9" t="s">
        <v>7</v>
      </c>
      <c r="B9" t="s">
        <v>9</v>
      </c>
      <c r="C9" t="s">
        <v>92</v>
      </c>
      <c r="D9" s="2">
        <v>278</v>
      </c>
      <c r="E9" s="2">
        <v>293</v>
      </c>
      <c r="F9" s="2">
        <v>85729320</v>
      </c>
      <c r="G9" s="3">
        <v>0.15535789919525625</v>
      </c>
      <c r="H9" s="3">
        <v>0.23009814612868049</v>
      </c>
      <c r="I9" s="3">
        <v>0.69431279620853081</v>
      </c>
      <c r="J9" s="4">
        <v>190</v>
      </c>
      <c r="K9" s="4">
        <v>201</v>
      </c>
      <c r="L9" s="4">
        <v>59148840</v>
      </c>
      <c r="M9" s="5">
        <v>0.1334828939988783</v>
      </c>
      <c r="N9" s="5">
        <v>0.24033613445378152</v>
      </c>
      <c r="O9" s="5">
        <v>0.70279720279720281</v>
      </c>
      <c r="P9">
        <v>-92</v>
      </c>
      <c r="Q9" s="1">
        <v>-0.31399317406143346</v>
      </c>
      <c r="R9">
        <v>-26580480</v>
      </c>
      <c r="S9" s="1">
        <v>-0.31005121701653532</v>
      </c>
    </row>
    <row r="10" spans="1:19" x14ac:dyDescent="0.45">
      <c r="A10" t="s">
        <v>7</v>
      </c>
      <c r="B10" t="s">
        <v>10</v>
      </c>
      <c r="C10" t="s">
        <v>93</v>
      </c>
      <c r="D10" s="2">
        <v>69</v>
      </c>
      <c r="E10" s="2">
        <v>80</v>
      </c>
      <c r="F10" s="2">
        <v>9892270</v>
      </c>
      <c r="G10" s="3">
        <v>0.15535789919525625</v>
      </c>
      <c r="H10" s="3">
        <v>0.29389312977099236</v>
      </c>
      <c r="I10" s="3">
        <v>0.14842300556586271</v>
      </c>
      <c r="J10" s="4">
        <v>57</v>
      </c>
      <c r="K10" s="4">
        <v>66</v>
      </c>
      <c r="L10" s="4">
        <v>8398120</v>
      </c>
      <c r="M10" s="5">
        <v>0.1334828939988783</v>
      </c>
      <c r="N10" s="5">
        <v>0.32184873949579834</v>
      </c>
      <c r="O10" s="5">
        <v>0.17232375979112272</v>
      </c>
      <c r="P10">
        <v>-14</v>
      </c>
      <c r="Q10" s="1">
        <v>-0.17499999999999999</v>
      </c>
      <c r="R10">
        <v>-1494150</v>
      </c>
      <c r="S10" s="1">
        <v>-0.15104217737688114</v>
      </c>
    </row>
    <row r="11" spans="1:19" x14ac:dyDescent="0.45">
      <c r="A11" t="s">
        <v>7</v>
      </c>
      <c r="B11" t="s">
        <v>10</v>
      </c>
      <c r="C11" t="s">
        <v>94</v>
      </c>
      <c r="D11" s="2">
        <v>36</v>
      </c>
      <c r="E11" s="2">
        <v>43</v>
      </c>
      <c r="F11" s="2">
        <v>6974680</v>
      </c>
      <c r="G11" s="3">
        <v>0.15535789919525625</v>
      </c>
      <c r="H11" s="3">
        <v>0.29389312977099236</v>
      </c>
      <c r="I11" s="3">
        <v>7.9777365491651209E-2</v>
      </c>
      <c r="J11" s="4">
        <v>18</v>
      </c>
      <c r="K11" s="4">
        <v>22</v>
      </c>
      <c r="L11" s="4">
        <v>3540430</v>
      </c>
      <c r="M11" s="5">
        <v>0.1334828939988783</v>
      </c>
      <c r="N11" s="5">
        <v>0.32184873949579834</v>
      </c>
      <c r="O11" s="5">
        <v>5.7441253263707574E-2</v>
      </c>
      <c r="P11">
        <v>-21</v>
      </c>
      <c r="Q11" s="1">
        <v>-0.48837209302325579</v>
      </c>
      <c r="R11">
        <v>-3434250</v>
      </c>
      <c r="S11" s="1">
        <v>-0.49238818124989248</v>
      </c>
    </row>
    <row r="12" spans="1:19" x14ac:dyDescent="0.45">
      <c r="A12" t="s">
        <v>7</v>
      </c>
      <c r="B12" t="s">
        <v>10</v>
      </c>
      <c r="C12" t="s">
        <v>95</v>
      </c>
      <c r="D12" s="2">
        <v>102</v>
      </c>
      <c r="E12" s="2">
        <v>114</v>
      </c>
      <c r="F12" s="2">
        <v>21857770</v>
      </c>
      <c r="G12" s="3">
        <v>0.15535789919525625</v>
      </c>
      <c r="H12" s="3">
        <v>0.29389312977099236</v>
      </c>
      <c r="I12" s="3">
        <v>0.21150278293135436</v>
      </c>
      <c r="J12" s="4">
        <v>75</v>
      </c>
      <c r="K12" s="4">
        <v>76</v>
      </c>
      <c r="L12" s="4">
        <v>14394140</v>
      </c>
      <c r="M12" s="5">
        <v>0.1334828939988783</v>
      </c>
      <c r="N12" s="5">
        <v>0.32184873949579834</v>
      </c>
      <c r="O12" s="5">
        <v>0.19843342036553524</v>
      </c>
      <c r="P12">
        <v>-38</v>
      </c>
      <c r="Q12" s="1">
        <v>-0.33333333333333331</v>
      </c>
      <c r="R12">
        <v>-7463630</v>
      </c>
      <c r="S12" s="1">
        <v>-0.34146347042722108</v>
      </c>
    </row>
    <row r="13" spans="1:19" x14ac:dyDescent="0.45">
      <c r="A13" t="s">
        <v>7</v>
      </c>
      <c r="B13" t="s">
        <v>10</v>
      </c>
      <c r="C13" t="s">
        <v>96</v>
      </c>
      <c r="D13" s="2">
        <v>73</v>
      </c>
      <c r="E13" s="2">
        <v>91</v>
      </c>
      <c r="F13" s="2">
        <v>12544620</v>
      </c>
      <c r="G13" s="3">
        <v>0.15535789919525625</v>
      </c>
      <c r="H13" s="3">
        <v>0.29389312977099236</v>
      </c>
      <c r="I13" s="3">
        <v>0.16883116883116883</v>
      </c>
      <c r="J13" s="4">
        <v>70</v>
      </c>
      <c r="K13" s="4">
        <v>80</v>
      </c>
      <c r="L13" s="4">
        <v>10875600</v>
      </c>
      <c r="M13" s="5">
        <v>0.1334828939988783</v>
      </c>
      <c r="N13" s="5">
        <v>0.32184873949579834</v>
      </c>
      <c r="O13" s="5">
        <v>0.20887728459530025</v>
      </c>
      <c r="P13">
        <v>-11</v>
      </c>
      <c r="Q13" s="1">
        <v>-0.12087912087912088</v>
      </c>
      <c r="R13">
        <v>-1669020</v>
      </c>
      <c r="S13" s="1">
        <v>-0.13304667658326835</v>
      </c>
    </row>
    <row r="14" spans="1:19" x14ac:dyDescent="0.45">
      <c r="A14" t="s">
        <v>7</v>
      </c>
      <c r="B14" t="s">
        <v>10</v>
      </c>
      <c r="C14" t="s">
        <v>97</v>
      </c>
      <c r="D14" s="2">
        <v>25</v>
      </c>
      <c r="E14" s="2">
        <v>36</v>
      </c>
      <c r="F14" s="2">
        <v>6093340</v>
      </c>
      <c r="G14" s="3">
        <v>0.15535789919525625</v>
      </c>
      <c r="H14" s="3">
        <v>0.29389312977099236</v>
      </c>
      <c r="I14" s="3">
        <v>6.6790352504638217E-2</v>
      </c>
      <c r="J14" s="4">
        <v>16</v>
      </c>
      <c r="K14" s="4">
        <v>22</v>
      </c>
      <c r="L14" s="4">
        <v>3735910</v>
      </c>
      <c r="M14" s="5">
        <v>0.1334828939988783</v>
      </c>
      <c r="N14" s="5">
        <v>0.32184873949579834</v>
      </c>
      <c r="O14" s="5">
        <v>5.7441253263707574E-2</v>
      </c>
      <c r="P14">
        <v>-14</v>
      </c>
      <c r="Q14" s="1">
        <v>-0.3888888888888889</v>
      </c>
      <c r="R14">
        <v>-2357430</v>
      </c>
      <c r="S14" s="1">
        <v>-0.38688633819875473</v>
      </c>
    </row>
    <row r="15" spans="1:19" x14ac:dyDescent="0.45">
      <c r="A15" t="s">
        <v>7</v>
      </c>
      <c r="B15" t="s">
        <v>10</v>
      </c>
      <c r="C15" t="s">
        <v>98</v>
      </c>
      <c r="D15" s="2">
        <v>144</v>
      </c>
      <c r="E15" s="2">
        <v>175</v>
      </c>
      <c r="F15" s="2">
        <v>35603460</v>
      </c>
      <c r="G15" s="3">
        <v>0.15535789919525625</v>
      </c>
      <c r="H15" s="3">
        <v>0.29389312977099236</v>
      </c>
      <c r="I15" s="3">
        <v>0.32467532467532467</v>
      </c>
      <c r="J15" s="4">
        <v>103</v>
      </c>
      <c r="K15" s="4">
        <v>117</v>
      </c>
      <c r="L15" s="4">
        <v>23540150</v>
      </c>
      <c r="M15" s="5">
        <v>0.1334828939988783</v>
      </c>
      <c r="N15" s="5">
        <v>0.32184873949579834</v>
      </c>
      <c r="O15" s="5">
        <v>0.30548302872062666</v>
      </c>
      <c r="P15">
        <v>-58</v>
      </c>
      <c r="Q15" s="1">
        <v>-0.33142857142857141</v>
      </c>
      <c r="R15">
        <v>-12063310</v>
      </c>
      <c r="S15" s="1">
        <v>-0.33882409181579543</v>
      </c>
    </row>
    <row r="16" spans="1:19" x14ac:dyDescent="0.45">
      <c r="A16" t="s">
        <v>72</v>
      </c>
      <c r="B16" t="s">
        <v>72</v>
      </c>
      <c r="C16" t="s">
        <v>573</v>
      </c>
      <c r="D16" s="2">
        <v>1</v>
      </c>
      <c r="E16" s="2">
        <v>2</v>
      </c>
      <c r="F16" s="2">
        <v>213390</v>
      </c>
      <c r="G16" s="3">
        <v>5.9296908089792458E-4</v>
      </c>
      <c r="H16" s="3">
        <v>1</v>
      </c>
      <c r="I16" s="3">
        <v>0.2857142857142857</v>
      </c>
      <c r="J16" s="4">
        <v>0</v>
      </c>
      <c r="K16" s="4">
        <v>0</v>
      </c>
      <c r="L16" s="4">
        <v>0</v>
      </c>
      <c r="M16" s="5">
        <v>1.2338754907459339E-3</v>
      </c>
      <c r="N16" s="5">
        <v>1</v>
      </c>
      <c r="O16" s="5">
        <v>0</v>
      </c>
      <c r="P16">
        <v>-2</v>
      </c>
      <c r="Q16" s="1">
        <v>-1</v>
      </c>
      <c r="R16">
        <v>-213390</v>
      </c>
      <c r="S16" s="1">
        <v>-1</v>
      </c>
    </row>
    <row r="17" spans="1:19" x14ac:dyDescent="0.45">
      <c r="A17" t="s">
        <v>72</v>
      </c>
      <c r="B17" t="s">
        <v>72</v>
      </c>
      <c r="C17" t="s">
        <v>574</v>
      </c>
      <c r="D17" s="2">
        <v>1</v>
      </c>
      <c r="E17" s="2">
        <v>1</v>
      </c>
      <c r="F17" s="2">
        <v>106690</v>
      </c>
      <c r="G17" s="3">
        <v>5.9296908089792458E-4</v>
      </c>
      <c r="H17" s="3">
        <v>1</v>
      </c>
      <c r="I17" s="3">
        <v>0.14285714285714285</v>
      </c>
      <c r="J17" s="4">
        <v>0</v>
      </c>
      <c r="K17" s="4">
        <v>0</v>
      </c>
      <c r="L17" s="4">
        <v>0</v>
      </c>
      <c r="M17" s="5">
        <v>1.2338754907459339E-3</v>
      </c>
      <c r="N17" s="5">
        <v>1</v>
      </c>
      <c r="O17" s="5">
        <v>0</v>
      </c>
      <c r="P17">
        <v>-1</v>
      </c>
      <c r="Q17" s="1">
        <v>-1</v>
      </c>
      <c r="R17">
        <v>-106690</v>
      </c>
      <c r="S17" s="1">
        <v>-1</v>
      </c>
    </row>
    <row r="18" spans="1:19" x14ac:dyDescent="0.45">
      <c r="A18" t="s">
        <v>72</v>
      </c>
      <c r="B18" t="s">
        <v>72</v>
      </c>
      <c r="C18" t="s">
        <v>575</v>
      </c>
      <c r="D18" s="2">
        <v>0</v>
      </c>
      <c r="E18" s="2">
        <v>0</v>
      </c>
      <c r="F18" s="2">
        <v>0</v>
      </c>
      <c r="G18" s="3">
        <v>5.9296908089792458E-4</v>
      </c>
      <c r="H18" s="3">
        <v>1</v>
      </c>
      <c r="I18" s="3">
        <v>0</v>
      </c>
      <c r="J18" s="4">
        <v>3</v>
      </c>
      <c r="K18" s="4">
        <v>5</v>
      </c>
      <c r="L18" s="4">
        <v>526510</v>
      </c>
      <c r="M18" s="5">
        <v>1.2338754907459339E-3</v>
      </c>
      <c r="N18" s="5">
        <v>1</v>
      </c>
      <c r="O18" s="5">
        <v>0.45454545454545453</v>
      </c>
      <c r="P18">
        <v>5</v>
      </c>
      <c r="Q18" s="1">
        <v>1</v>
      </c>
      <c r="R18">
        <v>526510</v>
      </c>
      <c r="S18" s="1">
        <v>1</v>
      </c>
    </row>
    <row r="19" spans="1:19" x14ac:dyDescent="0.45">
      <c r="A19" t="s">
        <v>72</v>
      </c>
      <c r="B19" t="s">
        <v>72</v>
      </c>
      <c r="C19" t="s">
        <v>576</v>
      </c>
      <c r="D19" s="2">
        <v>1</v>
      </c>
      <c r="E19" s="2">
        <v>1</v>
      </c>
      <c r="F19" s="2">
        <v>106690</v>
      </c>
      <c r="G19" s="3">
        <v>5.9296908089792458E-4</v>
      </c>
      <c r="H19" s="3">
        <v>1</v>
      </c>
      <c r="I19" s="3">
        <v>0.14285714285714285</v>
      </c>
      <c r="J19" s="4">
        <v>0</v>
      </c>
      <c r="K19" s="4">
        <v>0</v>
      </c>
      <c r="L19" s="4">
        <v>0</v>
      </c>
      <c r="M19" s="5">
        <v>1.2338754907459339E-3</v>
      </c>
      <c r="N19" s="5">
        <v>1</v>
      </c>
      <c r="O19" s="5">
        <v>0</v>
      </c>
      <c r="P19">
        <v>-1</v>
      </c>
      <c r="Q19" s="1">
        <v>-1</v>
      </c>
      <c r="R19">
        <v>-106690</v>
      </c>
      <c r="S19" s="1">
        <v>-1</v>
      </c>
    </row>
    <row r="20" spans="1:19" x14ac:dyDescent="0.45">
      <c r="A20" t="s">
        <v>72</v>
      </c>
      <c r="B20" t="s">
        <v>72</v>
      </c>
      <c r="C20" t="s">
        <v>577</v>
      </c>
      <c r="D20" s="2">
        <v>0</v>
      </c>
      <c r="E20" s="2">
        <v>0</v>
      </c>
      <c r="F20" s="2">
        <v>0</v>
      </c>
      <c r="G20" s="3">
        <v>5.9296908089792458E-4</v>
      </c>
      <c r="H20" s="3">
        <v>1</v>
      </c>
      <c r="I20" s="3">
        <v>0</v>
      </c>
      <c r="J20" s="4">
        <v>1</v>
      </c>
      <c r="K20" s="4">
        <v>1</v>
      </c>
      <c r="L20" s="4">
        <v>708630</v>
      </c>
      <c r="M20" s="5">
        <v>1.2338754907459339E-3</v>
      </c>
      <c r="N20" s="5">
        <v>1</v>
      </c>
      <c r="O20" s="5">
        <v>9.0909090909090912E-2</v>
      </c>
      <c r="P20">
        <v>1</v>
      </c>
      <c r="Q20" s="1">
        <v>1</v>
      </c>
      <c r="R20">
        <v>708630</v>
      </c>
      <c r="S20" s="1">
        <v>1</v>
      </c>
    </row>
    <row r="21" spans="1:19" x14ac:dyDescent="0.45">
      <c r="A21" t="s">
        <v>72</v>
      </c>
      <c r="B21" t="s">
        <v>72</v>
      </c>
      <c r="C21" t="s">
        <v>578</v>
      </c>
      <c r="D21" s="2">
        <v>1</v>
      </c>
      <c r="E21" s="2">
        <v>1</v>
      </c>
      <c r="F21" s="2">
        <v>745930</v>
      </c>
      <c r="G21" s="3">
        <v>5.9296908089792458E-4</v>
      </c>
      <c r="H21" s="3">
        <v>1</v>
      </c>
      <c r="I21" s="3">
        <v>0.14285714285714285</v>
      </c>
      <c r="J21" s="4">
        <v>2</v>
      </c>
      <c r="K21" s="4">
        <v>2</v>
      </c>
      <c r="L21" s="4">
        <v>1469490</v>
      </c>
      <c r="M21" s="5">
        <v>1.2338754907459339E-3</v>
      </c>
      <c r="N21" s="5">
        <v>1</v>
      </c>
      <c r="O21" s="5">
        <v>0.18181818181818182</v>
      </c>
      <c r="P21">
        <v>1</v>
      </c>
      <c r="Q21" s="1">
        <v>1</v>
      </c>
      <c r="R21">
        <v>723560</v>
      </c>
      <c r="S21" s="1">
        <v>0.97001059080610785</v>
      </c>
    </row>
    <row r="22" spans="1:19" x14ac:dyDescent="0.45">
      <c r="A22" t="s">
        <v>72</v>
      </c>
      <c r="B22" t="s">
        <v>72</v>
      </c>
      <c r="C22" t="s">
        <v>579</v>
      </c>
      <c r="D22" s="2">
        <v>1</v>
      </c>
      <c r="E22" s="2">
        <v>1</v>
      </c>
      <c r="F22" s="2">
        <v>812960</v>
      </c>
      <c r="G22" s="3">
        <v>5.9296908089792458E-4</v>
      </c>
      <c r="H22" s="3">
        <v>1</v>
      </c>
      <c r="I22" s="3">
        <v>0.14285714285714285</v>
      </c>
      <c r="J22" s="4">
        <v>2</v>
      </c>
      <c r="K22" s="4">
        <v>2</v>
      </c>
      <c r="L22" s="4">
        <v>1706060</v>
      </c>
      <c r="M22" s="5">
        <v>1.2338754907459339E-3</v>
      </c>
      <c r="N22" s="5">
        <v>1</v>
      </c>
      <c r="O22" s="5">
        <v>0.18181818181818182</v>
      </c>
      <c r="P22">
        <v>1</v>
      </c>
      <c r="Q22" s="1">
        <v>1</v>
      </c>
      <c r="R22">
        <v>893100</v>
      </c>
      <c r="S22" s="1">
        <v>1.0985780358197206</v>
      </c>
    </row>
    <row r="23" spans="1:19" x14ac:dyDescent="0.45">
      <c r="A23" t="s">
        <v>72</v>
      </c>
      <c r="B23" t="s">
        <v>72</v>
      </c>
      <c r="C23" t="s">
        <v>580</v>
      </c>
      <c r="D23" s="2">
        <v>1</v>
      </c>
      <c r="E23" s="2">
        <v>1</v>
      </c>
      <c r="F23" s="2">
        <v>121370</v>
      </c>
      <c r="G23" s="3">
        <v>5.9296908089792458E-4</v>
      </c>
      <c r="H23" s="3">
        <v>1</v>
      </c>
      <c r="I23" s="3">
        <v>0.14285714285714285</v>
      </c>
      <c r="J23" s="4">
        <v>0</v>
      </c>
      <c r="K23" s="4">
        <v>0</v>
      </c>
      <c r="L23" s="4">
        <v>0</v>
      </c>
      <c r="M23" s="5">
        <v>1.2338754907459339E-3</v>
      </c>
      <c r="N23" s="5">
        <v>1</v>
      </c>
      <c r="O23" s="5">
        <v>0</v>
      </c>
      <c r="P23">
        <v>-1</v>
      </c>
      <c r="Q23" s="1">
        <v>-1</v>
      </c>
      <c r="R23">
        <v>-121370</v>
      </c>
      <c r="S23" s="1">
        <v>-1</v>
      </c>
    </row>
    <row r="24" spans="1:19" x14ac:dyDescent="0.45">
      <c r="A24" t="s">
        <v>72</v>
      </c>
      <c r="B24" t="s">
        <v>72</v>
      </c>
      <c r="C24" t="s">
        <v>581</v>
      </c>
      <c r="D24" s="2">
        <v>0</v>
      </c>
      <c r="E24" s="2">
        <v>0</v>
      </c>
      <c r="F24" s="2">
        <v>0</v>
      </c>
      <c r="G24" s="3">
        <v>5.9296908089792458E-4</v>
      </c>
      <c r="H24" s="3">
        <v>1</v>
      </c>
      <c r="I24" s="3">
        <v>0</v>
      </c>
      <c r="J24" s="4">
        <v>1</v>
      </c>
      <c r="K24" s="4">
        <v>1</v>
      </c>
      <c r="L24" s="4">
        <v>118870</v>
      </c>
      <c r="M24" s="5">
        <v>1.2338754907459339E-3</v>
      </c>
      <c r="N24" s="5">
        <v>1</v>
      </c>
      <c r="O24" s="5">
        <v>9.0909090909090912E-2</v>
      </c>
      <c r="P24">
        <v>1</v>
      </c>
      <c r="Q24" s="1">
        <v>1</v>
      </c>
      <c r="R24">
        <v>118870</v>
      </c>
      <c r="S24" s="1">
        <v>1</v>
      </c>
    </row>
    <row r="25" spans="1:19" x14ac:dyDescent="0.45">
      <c r="A25" t="s">
        <v>11</v>
      </c>
      <c r="B25" t="s">
        <v>12</v>
      </c>
      <c r="C25" t="s">
        <v>99</v>
      </c>
      <c r="D25" s="2">
        <v>7</v>
      </c>
      <c r="E25" s="2">
        <v>7</v>
      </c>
      <c r="F25" s="2">
        <v>1864300</v>
      </c>
      <c r="G25" s="3">
        <v>3.0326132994493857E-2</v>
      </c>
      <c r="H25" s="3">
        <v>0.20391061452513967</v>
      </c>
      <c r="I25" s="3">
        <v>9.5890410958904104E-2</v>
      </c>
      <c r="J25" s="4">
        <v>10</v>
      </c>
      <c r="K25" s="4">
        <v>10</v>
      </c>
      <c r="L25" s="4">
        <v>2611470</v>
      </c>
      <c r="M25" s="5">
        <v>2.310712282669658E-2</v>
      </c>
      <c r="N25" s="5">
        <v>0.23786407766990292</v>
      </c>
      <c r="O25" s="5">
        <v>0.20408163265306123</v>
      </c>
      <c r="P25">
        <v>3</v>
      </c>
      <c r="Q25" s="1">
        <v>0.42857142857142855</v>
      </c>
      <c r="R25">
        <v>747170</v>
      </c>
      <c r="S25" s="1">
        <v>0.40077777181784047</v>
      </c>
    </row>
    <row r="26" spans="1:19" x14ac:dyDescent="0.45">
      <c r="A26" t="s">
        <v>11</v>
      </c>
      <c r="B26" t="s">
        <v>12</v>
      </c>
      <c r="C26" t="s">
        <v>100</v>
      </c>
      <c r="D26" s="2">
        <v>3</v>
      </c>
      <c r="E26" s="2">
        <v>4</v>
      </c>
      <c r="F26" s="2">
        <v>1048180</v>
      </c>
      <c r="G26" s="3">
        <v>3.0326132994493857E-2</v>
      </c>
      <c r="H26" s="3">
        <v>0.20391061452513967</v>
      </c>
      <c r="I26" s="3">
        <v>5.4794520547945202E-2</v>
      </c>
      <c r="J26" s="4">
        <v>1</v>
      </c>
      <c r="K26" s="4">
        <v>1</v>
      </c>
      <c r="L26" s="4">
        <v>268160</v>
      </c>
      <c r="M26" s="5">
        <v>2.310712282669658E-2</v>
      </c>
      <c r="N26" s="5">
        <v>0.23786407766990292</v>
      </c>
      <c r="O26" s="5">
        <v>2.0408163265306121E-2</v>
      </c>
      <c r="P26">
        <v>-3</v>
      </c>
      <c r="Q26" s="1">
        <v>-0.75</v>
      </c>
      <c r="R26">
        <v>-780020</v>
      </c>
      <c r="S26" s="1">
        <v>-0.74416607834532233</v>
      </c>
    </row>
    <row r="27" spans="1:19" x14ac:dyDescent="0.45">
      <c r="A27" t="s">
        <v>11</v>
      </c>
      <c r="B27" t="s">
        <v>12</v>
      </c>
      <c r="C27" t="s">
        <v>101</v>
      </c>
      <c r="D27" s="2">
        <v>32</v>
      </c>
      <c r="E27" s="2">
        <v>47</v>
      </c>
      <c r="F27" s="2">
        <v>12312120</v>
      </c>
      <c r="G27" s="3">
        <v>3.0326132994493857E-2</v>
      </c>
      <c r="H27" s="3">
        <v>0.20391061452513967</v>
      </c>
      <c r="I27" s="3">
        <v>0.64383561643835618</v>
      </c>
      <c r="J27" s="4">
        <v>16</v>
      </c>
      <c r="K27" s="4">
        <v>18</v>
      </c>
      <c r="L27" s="4">
        <v>4722590</v>
      </c>
      <c r="M27" s="5">
        <v>2.310712282669658E-2</v>
      </c>
      <c r="N27" s="5">
        <v>0.23786407766990292</v>
      </c>
      <c r="O27" s="5">
        <v>0.36734693877551022</v>
      </c>
      <c r="P27">
        <v>-29</v>
      </c>
      <c r="Q27" s="1">
        <v>-0.61702127659574468</v>
      </c>
      <c r="R27">
        <v>-7589530</v>
      </c>
      <c r="S27" s="1">
        <v>-0.61642755268792049</v>
      </c>
    </row>
    <row r="28" spans="1:19" x14ac:dyDescent="0.45">
      <c r="A28" t="s">
        <v>11</v>
      </c>
      <c r="B28" t="s">
        <v>12</v>
      </c>
      <c r="C28" t="s">
        <v>102</v>
      </c>
      <c r="D28" s="2">
        <v>2</v>
      </c>
      <c r="E28" s="2">
        <v>3</v>
      </c>
      <c r="F28" s="2">
        <v>807340</v>
      </c>
      <c r="G28" s="3">
        <v>3.0326132994493857E-2</v>
      </c>
      <c r="H28" s="3">
        <v>0.20391061452513967</v>
      </c>
      <c r="I28" s="3">
        <v>4.1095890410958902E-2</v>
      </c>
      <c r="J28" s="4">
        <v>4</v>
      </c>
      <c r="K28" s="4">
        <v>4</v>
      </c>
      <c r="L28" s="4">
        <v>1069740</v>
      </c>
      <c r="M28" s="5">
        <v>2.310712282669658E-2</v>
      </c>
      <c r="N28" s="5">
        <v>0.23786407766990292</v>
      </c>
      <c r="O28" s="5">
        <v>8.1632653061224483E-2</v>
      </c>
      <c r="P28">
        <v>1</v>
      </c>
      <c r="Q28" s="1">
        <v>0.33333333333333331</v>
      </c>
      <c r="R28">
        <v>262400</v>
      </c>
      <c r="S28" s="1">
        <v>0.3250179602150271</v>
      </c>
    </row>
    <row r="29" spans="1:19" x14ac:dyDescent="0.45">
      <c r="A29" t="s">
        <v>11</v>
      </c>
      <c r="B29" t="s">
        <v>12</v>
      </c>
      <c r="C29" t="s">
        <v>103</v>
      </c>
      <c r="D29" s="2">
        <v>1</v>
      </c>
      <c r="E29" s="2">
        <v>1</v>
      </c>
      <c r="F29" s="2">
        <v>259510</v>
      </c>
      <c r="G29" s="3">
        <v>3.0326132994493857E-2</v>
      </c>
      <c r="H29" s="3">
        <v>0.20391061452513967</v>
      </c>
      <c r="I29" s="3">
        <v>1.3698630136986301E-2</v>
      </c>
      <c r="J29" s="4">
        <v>4</v>
      </c>
      <c r="K29" s="4">
        <v>4</v>
      </c>
      <c r="L29" s="4">
        <v>1088650</v>
      </c>
      <c r="M29" s="5">
        <v>2.310712282669658E-2</v>
      </c>
      <c r="N29" s="5">
        <v>0.23786407766990292</v>
      </c>
      <c r="O29" s="5">
        <v>8.1632653061224483E-2</v>
      </c>
      <c r="P29">
        <v>3</v>
      </c>
      <c r="Q29" s="1">
        <v>3</v>
      </c>
      <c r="R29">
        <v>829140</v>
      </c>
      <c r="S29" s="1">
        <v>3.1950213864590959</v>
      </c>
    </row>
    <row r="30" spans="1:19" x14ac:dyDescent="0.45">
      <c r="A30" t="s">
        <v>11</v>
      </c>
      <c r="B30" t="s">
        <v>12</v>
      </c>
      <c r="C30" t="s">
        <v>104</v>
      </c>
      <c r="D30" s="2">
        <v>2</v>
      </c>
      <c r="E30" s="2">
        <v>2</v>
      </c>
      <c r="F30" s="2">
        <v>532170</v>
      </c>
      <c r="G30" s="3">
        <v>3.0326132994493857E-2</v>
      </c>
      <c r="H30" s="3">
        <v>0.20391061452513967</v>
      </c>
      <c r="I30" s="3">
        <v>2.7397260273972601E-2</v>
      </c>
      <c r="J30" s="4">
        <v>0</v>
      </c>
      <c r="K30" s="4">
        <v>0</v>
      </c>
      <c r="L30" s="4">
        <v>0</v>
      </c>
      <c r="M30" s="5">
        <v>2.310712282669658E-2</v>
      </c>
      <c r="N30" s="5">
        <v>0.23786407766990292</v>
      </c>
      <c r="O30" s="5">
        <v>0</v>
      </c>
      <c r="P30">
        <v>-2</v>
      </c>
      <c r="Q30" s="1">
        <v>-1</v>
      </c>
      <c r="R30">
        <v>-532170</v>
      </c>
      <c r="S30" s="1">
        <v>-1</v>
      </c>
    </row>
    <row r="31" spans="1:19" x14ac:dyDescent="0.45">
      <c r="A31" t="s">
        <v>11</v>
      </c>
      <c r="B31" t="s">
        <v>12</v>
      </c>
      <c r="C31" t="s">
        <v>105</v>
      </c>
      <c r="D31" s="2">
        <v>1</v>
      </c>
      <c r="E31" s="2">
        <v>1</v>
      </c>
      <c r="F31" s="2">
        <v>284210</v>
      </c>
      <c r="G31" s="3">
        <v>3.0326132994493857E-2</v>
      </c>
      <c r="H31" s="3">
        <v>0.20391061452513967</v>
      </c>
      <c r="I31" s="3">
        <v>1.3698630136986301E-2</v>
      </c>
      <c r="J31" s="4">
        <v>0</v>
      </c>
      <c r="K31" s="4">
        <v>0</v>
      </c>
      <c r="L31" s="4">
        <v>0</v>
      </c>
      <c r="M31" s="5">
        <v>2.310712282669658E-2</v>
      </c>
      <c r="N31" s="5">
        <v>0.23786407766990292</v>
      </c>
      <c r="O31" s="5">
        <v>0</v>
      </c>
      <c r="P31">
        <v>-1</v>
      </c>
      <c r="Q31" s="1">
        <v>-1</v>
      </c>
      <c r="R31">
        <v>-284210</v>
      </c>
      <c r="S31" s="1">
        <v>-1</v>
      </c>
    </row>
    <row r="32" spans="1:19" x14ac:dyDescent="0.45">
      <c r="A32" t="s">
        <v>11</v>
      </c>
      <c r="B32" t="s">
        <v>12</v>
      </c>
      <c r="C32" t="s">
        <v>106</v>
      </c>
      <c r="D32" s="2">
        <v>3</v>
      </c>
      <c r="E32" s="2">
        <v>3</v>
      </c>
      <c r="F32" s="2">
        <v>799500</v>
      </c>
      <c r="G32" s="3">
        <v>3.0326132994493857E-2</v>
      </c>
      <c r="H32" s="3">
        <v>0.20391061452513967</v>
      </c>
      <c r="I32" s="3">
        <v>4.1095890410958902E-2</v>
      </c>
      <c r="J32" s="4">
        <v>6</v>
      </c>
      <c r="K32" s="4">
        <v>6</v>
      </c>
      <c r="L32" s="4">
        <v>1642180</v>
      </c>
      <c r="M32" s="5">
        <v>2.310712282669658E-2</v>
      </c>
      <c r="N32" s="5">
        <v>0.23786407766990292</v>
      </c>
      <c r="O32" s="5">
        <v>0.12244897959183673</v>
      </c>
      <c r="P32">
        <v>3</v>
      </c>
      <c r="Q32" s="1">
        <v>1</v>
      </c>
      <c r="R32">
        <v>842680</v>
      </c>
      <c r="S32" s="1">
        <v>1.0540087554721702</v>
      </c>
    </row>
    <row r="33" spans="1:19" x14ac:dyDescent="0.45">
      <c r="A33" t="s">
        <v>11</v>
      </c>
      <c r="B33" t="s">
        <v>12</v>
      </c>
      <c r="C33" t="s">
        <v>107</v>
      </c>
      <c r="D33" s="2">
        <v>1</v>
      </c>
      <c r="E33" s="2">
        <v>1</v>
      </c>
      <c r="F33" s="2">
        <v>261750</v>
      </c>
      <c r="G33" s="3">
        <v>3.0326132994493857E-2</v>
      </c>
      <c r="H33" s="3">
        <v>0.20391061452513967</v>
      </c>
      <c r="I33" s="3">
        <v>1.3698630136986301E-2</v>
      </c>
      <c r="J33" s="4">
        <v>0</v>
      </c>
      <c r="K33" s="4">
        <v>0</v>
      </c>
      <c r="L33" s="4">
        <v>-5510</v>
      </c>
      <c r="M33" s="5">
        <v>2.310712282669658E-2</v>
      </c>
      <c r="N33" s="5">
        <v>0.23786407766990292</v>
      </c>
      <c r="O33" s="5">
        <v>0</v>
      </c>
      <c r="P33">
        <v>-1</v>
      </c>
      <c r="Q33" s="1">
        <v>-1</v>
      </c>
      <c r="R33">
        <v>-267260</v>
      </c>
      <c r="S33" s="1">
        <v>-1.0210506208213945</v>
      </c>
    </row>
    <row r="34" spans="1:19" x14ac:dyDescent="0.45">
      <c r="A34" t="s">
        <v>11</v>
      </c>
      <c r="B34" t="s">
        <v>12</v>
      </c>
      <c r="C34" t="s">
        <v>108</v>
      </c>
      <c r="D34" s="2">
        <v>1</v>
      </c>
      <c r="E34" s="2">
        <v>1</v>
      </c>
      <c r="F34" s="2">
        <v>261740</v>
      </c>
      <c r="G34" s="3">
        <v>3.0326132994493857E-2</v>
      </c>
      <c r="H34" s="3">
        <v>0.20391061452513967</v>
      </c>
      <c r="I34" s="3">
        <v>1.3698630136986301E-2</v>
      </c>
      <c r="J34" s="4">
        <v>1</v>
      </c>
      <c r="K34" s="4">
        <v>1</v>
      </c>
      <c r="L34" s="4">
        <v>261740</v>
      </c>
      <c r="M34" s="5">
        <v>2.310712282669658E-2</v>
      </c>
      <c r="N34" s="5">
        <v>0.23786407766990292</v>
      </c>
      <c r="O34" s="5">
        <v>2.0408163265306121E-2</v>
      </c>
      <c r="P34">
        <v>0</v>
      </c>
      <c r="Q34" s="1">
        <v>0</v>
      </c>
      <c r="R34">
        <v>0</v>
      </c>
      <c r="S34" s="1">
        <v>0</v>
      </c>
    </row>
    <row r="35" spans="1:19" x14ac:dyDescent="0.45">
      <c r="A35" t="s">
        <v>11</v>
      </c>
      <c r="B35" t="s">
        <v>12</v>
      </c>
      <c r="C35" t="s">
        <v>109</v>
      </c>
      <c r="D35" s="2">
        <v>3</v>
      </c>
      <c r="E35" s="2">
        <v>3</v>
      </c>
      <c r="F35" s="2">
        <v>777590</v>
      </c>
      <c r="G35" s="3">
        <v>3.0326132994493857E-2</v>
      </c>
      <c r="H35" s="3">
        <v>0.20391061452513967</v>
      </c>
      <c r="I35" s="3">
        <v>4.1095890410958902E-2</v>
      </c>
      <c r="J35" s="4">
        <v>5</v>
      </c>
      <c r="K35" s="4">
        <v>5</v>
      </c>
      <c r="L35" s="4">
        <v>1365990</v>
      </c>
      <c r="M35" s="5">
        <v>2.310712282669658E-2</v>
      </c>
      <c r="N35" s="5">
        <v>0.23786407766990292</v>
      </c>
      <c r="O35" s="5">
        <v>0.10204081632653061</v>
      </c>
      <c r="P35">
        <v>2</v>
      </c>
      <c r="Q35" s="1">
        <v>0.66666666666666663</v>
      </c>
      <c r="R35">
        <v>588400</v>
      </c>
      <c r="S35" s="1">
        <v>0.75669697398371893</v>
      </c>
    </row>
    <row r="36" spans="1:19" x14ac:dyDescent="0.45">
      <c r="A36" t="s">
        <v>11</v>
      </c>
      <c r="B36" t="s">
        <v>13</v>
      </c>
      <c r="C36" t="s">
        <v>110</v>
      </c>
      <c r="D36" s="2">
        <v>5</v>
      </c>
      <c r="E36" s="2">
        <v>5</v>
      </c>
      <c r="F36" s="2">
        <v>916150</v>
      </c>
      <c r="G36" s="3">
        <v>3.0326132994493857E-2</v>
      </c>
      <c r="H36" s="3">
        <v>0.79050279329608941</v>
      </c>
      <c r="I36" s="3">
        <v>1.7667844522968199E-2</v>
      </c>
      <c r="J36" s="4">
        <v>1</v>
      </c>
      <c r="K36" s="4">
        <v>1</v>
      </c>
      <c r="L36" s="4">
        <v>177860</v>
      </c>
      <c r="M36" s="5">
        <v>2.310712282669658E-2</v>
      </c>
      <c r="N36" s="5">
        <v>0.76213592233009708</v>
      </c>
      <c r="O36" s="5">
        <v>6.369426751592357E-3</v>
      </c>
      <c r="P36">
        <v>-4</v>
      </c>
      <c r="Q36" s="1">
        <v>-0.8</v>
      </c>
      <c r="R36">
        <v>-738290</v>
      </c>
      <c r="S36" s="1">
        <v>-0.80586148556459092</v>
      </c>
    </row>
    <row r="37" spans="1:19" x14ac:dyDescent="0.45">
      <c r="A37" t="s">
        <v>11</v>
      </c>
      <c r="B37" t="s">
        <v>13</v>
      </c>
      <c r="C37" t="s">
        <v>111</v>
      </c>
      <c r="D37" s="2">
        <v>1</v>
      </c>
      <c r="E37" s="2">
        <v>1</v>
      </c>
      <c r="F37" s="2">
        <v>353080</v>
      </c>
      <c r="G37" s="3">
        <v>3.0326132994493857E-2</v>
      </c>
      <c r="H37" s="3">
        <v>0.79050279329608941</v>
      </c>
      <c r="I37" s="3">
        <v>3.5335689045936395E-3</v>
      </c>
      <c r="J37" s="4">
        <v>0</v>
      </c>
      <c r="K37" s="4">
        <v>0</v>
      </c>
      <c r="L37" s="4">
        <v>0</v>
      </c>
      <c r="M37" s="5">
        <v>2.310712282669658E-2</v>
      </c>
      <c r="N37" s="5">
        <v>0.76213592233009708</v>
      </c>
      <c r="O37" s="5">
        <v>0</v>
      </c>
      <c r="P37">
        <v>-1</v>
      </c>
      <c r="Q37" s="1">
        <v>-1</v>
      </c>
      <c r="R37">
        <v>-353080</v>
      </c>
      <c r="S37" s="1">
        <v>-1</v>
      </c>
    </row>
    <row r="38" spans="1:19" x14ac:dyDescent="0.45">
      <c r="A38" t="s">
        <v>11</v>
      </c>
      <c r="B38" t="s">
        <v>13</v>
      </c>
      <c r="C38" t="s">
        <v>112</v>
      </c>
      <c r="D38" s="2">
        <v>76</v>
      </c>
      <c r="E38" s="2">
        <v>78</v>
      </c>
      <c r="F38" s="2">
        <v>20550360</v>
      </c>
      <c r="G38" s="3">
        <v>3.0326132994493857E-2</v>
      </c>
      <c r="H38" s="3">
        <v>0.79050279329608941</v>
      </c>
      <c r="I38" s="3">
        <v>0.2756183745583039</v>
      </c>
      <c r="J38" s="4">
        <v>53</v>
      </c>
      <c r="K38" s="4">
        <v>57</v>
      </c>
      <c r="L38" s="4">
        <v>15048440</v>
      </c>
      <c r="M38" s="5">
        <v>2.310712282669658E-2</v>
      </c>
      <c r="N38" s="5">
        <v>0.76213592233009708</v>
      </c>
      <c r="O38" s="5">
        <v>0.36305732484076431</v>
      </c>
      <c r="P38">
        <v>-21</v>
      </c>
      <c r="Q38" s="1">
        <v>-0.26923076923076922</v>
      </c>
      <c r="R38">
        <v>-5501920</v>
      </c>
      <c r="S38" s="1">
        <v>-0.26772864319651823</v>
      </c>
    </row>
    <row r="39" spans="1:19" x14ac:dyDescent="0.45">
      <c r="A39" t="s">
        <v>11</v>
      </c>
      <c r="B39" t="s">
        <v>13</v>
      </c>
      <c r="C39" t="s">
        <v>113</v>
      </c>
      <c r="D39" s="2">
        <v>88</v>
      </c>
      <c r="E39" s="2">
        <v>103</v>
      </c>
      <c r="F39" s="2">
        <v>42172180</v>
      </c>
      <c r="G39" s="3">
        <v>3.0326132994493857E-2</v>
      </c>
      <c r="H39" s="3">
        <v>0.79050279329608941</v>
      </c>
      <c r="I39" s="3">
        <v>0.36395759717314485</v>
      </c>
      <c r="J39" s="4">
        <v>40</v>
      </c>
      <c r="K39" s="4">
        <v>44</v>
      </c>
      <c r="L39" s="4">
        <v>18104210</v>
      </c>
      <c r="M39" s="5">
        <v>2.310712282669658E-2</v>
      </c>
      <c r="N39" s="5">
        <v>0.76213592233009708</v>
      </c>
      <c r="O39" s="5">
        <v>0.28025477707006369</v>
      </c>
      <c r="P39">
        <v>-59</v>
      </c>
      <c r="Q39" s="1">
        <v>-0.57281553398058249</v>
      </c>
      <c r="R39">
        <v>-24067970</v>
      </c>
      <c r="S39" s="1">
        <v>-0.57070727669283394</v>
      </c>
    </row>
    <row r="40" spans="1:19" x14ac:dyDescent="0.45">
      <c r="A40" t="s">
        <v>11</v>
      </c>
      <c r="B40" t="s">
        <v>13</v>
      </c>
      <c r="C40" t="s">
        <v>114</v>
      </c>
      <c r="D40" s="2">
        <v>53</v>
      </c>
      <c r="E40" s="2">
        <v>69</v>
      </c>
      <c r="F40" s="2">
        <v>16107900</v>
      </c>
      <c r="G40" s="3">
        <v>3.0326132994493857E-2</v>
      </c>
      <c r="H40" s="3">
        <v>0.79050279329608941</v>
      </c>
      <c r="I40" s="3">
        <v>0.24381625441696114</v>
      </c>
      <c r="J40" s="4">
        <v>31</v>
      </c>
      <c r="K40" s="4">
        <v>31</v>
      </c>
      <c r="L40" s="4">
        <v>7237580</v>
      </c>
      <c r="M40" s="5">
        <v>2.310712282669658E-2</v>
      </c>
      <c r="N40" s="5">
        <v>0.76213592233009708</v>
      </c>
      <c r="O40" s="5">
        <v>0.19745222929936307</v>
      </c>
      <c r="P40">
        <v>-38</v>
      </c>
      <c r="Q40" s="1">
        <v>-0.55072463768115942</v>
      </c>
      <c r="R40">
        <v>-8870320</v>
      </c>
      <c r="S40" s="1">
        <v>-0.55068134269519931</v>
      </c>
    </row>
    <row r="41" spans="1:19" x14ac:dyDescent="0.45">
      <c r="A41" t="s">
        <v>11</v>
      </c>
      <c r="B41" t="s">
        <v>13</v>
      </c>
      <c r="C41" t="s">
        <v>115</v>
      </c>
      <c r="D41" s="2">
        <v>24</v>
      </c>
      <c r="E41" s="2">
        <v>27</v>
      </c>
      <c r="F41" s="2">
        <v>10329960</v>
      </c>
      <c r="G41" s="3">
        <v>3.0326132994493857E-2</v>
      </c>
      <c r="H41" s="3">
        <v>0.79050279329608941</v>
      </c>
      <c r="I41" s="3">
        <v>9.5406360424028266E-2</v>
      </c>
      <c r="J41" s="4">
        <v>23</v>
      </c>
      <c r="K41" s="4">
        <v>24</v>
      </c>
      <c r="L41" s="4">
        <v>9160340</v>
      </c>
      <c r="M41" s="5">
        <v>2.310712282669658E-2</v>
      </c>
      <c r="N41" s="5">
        <v>0.76213592233009708</v>
      </c>
      <c r="O41" s="5">
        <v>0.15286624203821655</v>
      </c>
      <c r="P41">
        <v>-3</v>
      </c>
      <c r="Q41" s="1">
        <v>-0.1111111111111111</v>
      </c>
      <c r="R41">
        <v>-1169620</v>
      </c>
      <c r="S41" s="1">
        <v>-0.11322599506677664</v>
      </c>
    </row>
    <row r="42" spans="1:19" x14ac:dyDescent="0.45">
      <c r="A42" t="s">
        <v>11</v>
      </c>
      <c r="B42" t="s">
        <v>14</v>
      </c>
      <c r="C42" t="s">
        <v>116</v>
      </c>
      <c r="D42" s="2">
        <v>2</v>
      </c>
      <c r="E42" s="2">
        <v>2</v>
      </c>
      <c r="F42" s="2">
        <v>1077070</v>
      </c>
      <c r="G42" s="3">
        <v>3.0326132994493857E-2</v>
      </c>
      <c r="H42" s="3">
        <v>5.5865921787709499E-3</v>
      </c>
      <c r="I42" s="3">
        <v>1</v>
      </c>
      <c r="J42" s="4">
        <v>0</v>
      </c>
      <c r="K42" s="4">
        <v>0</v>
      </c>
      <c r="L42" s="4">
        <v>0</v>
      </c>
      <c r="M42" s="5">
        <v>2.310712282669658E-2</v>
      </c>
      <c r="N42" s="5">
        <v>0</v>
      </c>
      <c r="O42" s="5">
        <v>0</v>
      </c>
      <c r="P42">
        <v>-2</v>
      </c>
      <c r="Q42" s="1">
        <v>-1</v>
      </c>
      <c r="R42">
        <v>-1077070</v>
      </c>
      <c r="S42" s="1">
        <v>-1</v>
      </c>
    </row>
    <row r="43" spans="1:19" x14ac:dyDescent="0.45">
      <c r="A43" t="s">
        <v>15</v>
      </c>
      <c r="B43" t="s">
        <v>16</v>
      </c>
      <c r="C43" t="s">
        <v>117</v>
      </c>
      <c r="D43" s="2">
        <v>29</v>
      </c>
      <c r="E43" s="2">
        <v>30</v>
      </c>
      <c r="F43" s="2">
        <v>2802780</v>
      </c>
      <c r="G43" s="3">
        <v>2.7107157983905124E-2</v>
      </c>
      <c r="H43" s="3">
        <v>0.10625</v>
      </c>
      <c r="I43" s="3">
        <v>0.88235294117647056</v>
      </c>
      <c r="J43" s="4">
        <v>29</v>
      </c>
      <c r="K43" s="4">
        <v>34</v>
      </c>
      <c r="L43" s="4">
        <v>3193110</v>
      </c>
      <c r="M43" s="5">
        <v>3.3426808749298938E-2</v>
      </c>
      <c r="N43" s="5">
        <v>0.13087248322147652</v>
      </c>
      <c r="O43" s="5">
        <v>0.87179487179487181</v>
      </c>
      <c r="P43">
        <v>4</v>
      </c>
      <c r="Q43" s="1">
        <v>0.13333333333333333</v>
      </c>
      <c r="R43">
        <v>390330</v>
      </c>
      <c r="S43" s="1">
        <v>0.13926530087984074</v>
      </c>
    </row>
    <row r="44" spans="1:19" x14ac:dyDescent="0.45">
      <c r="A44" t="s">
        <v>15</v>
      </c>
      <c r="B44" t="s">
        <v>16</v>
      </c>
      <c r="C44" t="s">
        <v>118</v>
      </c>
      <c r="D44" s="2">
        <v>4</v>
      </c>
      <c r="E44" s="2">
        <v>4</v>
      </c>
      <c r="F44" s="2">
        <v>341080</v>
      </c>
      <c r="G44" s="3">
        <v>2.7107157983905124E-2</v>
      </c>
      <c r="H44" s="3">
        <v>0.10625</v>
      </c>
      <c r="I44" s="3">
        <v>0.11764705882352941</v>
      </c>
      <c r="J44" s="4">
        <v>5</v>
      </c>
      <c r="K44" s="4">
        <v>5</v>
      </c>
      <c r="L44" s="4">
        <v>414770</v>
      </c>
      <c r="M44" s="5">
        <v>3.3426808749298938E-2</v>
      </c>
      <c r="N44" s="5">
        <v>0.13087248322147652</v>
      </c>
      <c r="O44" s="5">
        <v>0.12820512820512819</v>
      </c>
      <c r="P44">
        <v>1</v>
      </c>
      <c r="Q44" s="1">
        <v>0.25</v>
      </c>
      <c r="R44">
        <v>73690</v>
      </c>
      <c r="S44" s="1">
        <v>0.21604902075759352</v>
      </c>
    </row>
    <row r="45" spans="1:19" x14ac:dyDescent="0.45">
      <c r="A45" t="s">
        <v>15</v>
      </c>
      <c r="B45" t="s">
        <v>15</v>
      </c>
      <c r="C45" t="s">
        <v>119</v>
      </c>
      <c r="D45" s="2">
        <v>155</v>
      </c>
      <c r="E45" s="2">
        <v>211</v>
      </c>
      <c r="F45" s="2">
        <v>9989260</v>
      </c>
      <c r="G45" s="3">
        <v>2.7107157983905124E-2</v>
      </c>
      <c r="H45" s="3">
        <v>0.89375000000000004</v>
      </c>
      <c r="I45" s="3">
        <v>0.73776223776223782</v>
      </c>
      <c r="J45" s="4">
        <v>150</v>
      </c>
      <c r="K45" s="4">
        <v>175</v>
      </c>
      <c r="L45" s="4">
        <v>8239770</v>
      </c>
      <c r="M45" s="5">
        <v>3.3426808749298938E-2</v>
      </c>
      <c r="N45" s="5">
        <v>0.86912751677852351</v>
      </c>
      <c r="O45" s="5">
        <v>0.67567567567567566</v>
      </c>
      <c r="P45">
        <v>-36</v>
      </c>
      <c r="Q45" s="1">
        <v>-0.17061611374407584</v>
      </c>
      <c r="R45">
        <v>-1749490</v>
      </c>
      <c r="S45" s="1">
        <v>-0.17513709724243837</v>
      </c>
    </row>
    <row r="46" spans="1:19" x14ac:dyDescent="0.45">
      <c r="A46" t="s">
        <v>15</v>
      </c>
      <c r="B46" t="s">
        <v>15</v>
      </c>
      <c r="C46" t="s">
        <v>120</v>
      </c>
      <c r="D46" s="2">
        <v>30</v>
      </c>
      <c r="E46" s="2">
        <v>32</v>
      </c>
      <c r="F46" s="2">
        <v>1207980</v>
      </c>
      <c r="G46" s="3">
        <v>2.7107157983905124E-2</v>
      </c>
      <c r="H46" s="3">
        <v>0.89375000000000004</v>
      </c>
      <c r="I46" s="3">
        <v>0.11188811188811189</v>
      </c>
      <c r="J46" s="4">
        <v>30</v>
      </c>
      <c r="K46" s="4">
        <v>40</v>
      </c>
      <c r="L46" s="4">
        <v>1506610</v>
      </c>
      <c r="M46" s="5">
        <v>3.3426808749298938E-2</v>
      </c>
      <c r="N46" s="5">
        <v>0.86912751677852351</v>
      </c>
      <c r="O46" s="5">
        <v>0.15444015444015444</v>
      </c>
      <c r="P46">
        <v>8</v>
      </c>
      <c r="Q46" s="1">
        <v>0.25</v>
      </c>
      <c r="R46">
        <v>298630</v>
      </c>
      <c r="S46" s="1">
        <v>0.24721435785360685</v>
      </c>
    </row>
    <row r="47" spans="1:19" x14ac:dyDescent="0.45">
      <c r="A47" t="s">
        <v>15</v>
      </c>
      <c r="B47" t="s">
        <v>15</v>
      </c>
      <c r="C47" t="s">
        <v>121</v>
      </c>
      <c r="D47" s="2">
        <v>40</v>
      </c>
      <c r="E47" s="2">
        <v>43</v>
      </c>
      <c r="F47" s="2">
        <v>1432440</v>
      </c>
      <c r="G47" s="3">
        <v>2.7107157983905124E-2</v>
      </c>
      <c r="H47" s="3">
        <v>0.89375000000000004</v>
      </c>
      <c r="I47" s="3">
        <v>0.15034965034965034</v>
      </c>
      <c r="J47" s="4">
        <v>41</v>
      </c>
      <c r="K47" s="4">
        <v>44</v>
      </c>
      <c r="L47" s="4">
        <v>1455020</v>
      </c>
      <c r="M47" s="5">
        <v>3.3426808749298938E-2</v>
      </c>
      <c r="N47" s="5">
        <v>0.86912751677852351</v>
      </c>
      <c r="O47" s="5">
        <v>0.16988416988416988</v>
      </c>
      <c r="P47">
        <v>1</v>
      </c>
      <c r="Q47" s="1">
        <v>2.3255813953488372E-2</v>
      </c>
      <c r="R47">
        <v>22580</v>
      </c>
      <c r="S47" s="1">
        <v>1.5763312948535366E-2</v>
      </c>
    </row>
    <row r="48" spans="1:19" x14ac:dyDescent="0.45">
      <c r="A48" t="s">
        <v>17</v>
      </c>
      <c r="B48" t="s">
        <v>18</v>
      </c>
      <c r="C48" t="s">
        <v>122</v>
      </c>
      <c r="D48" s="2">
        <v>5</v>
      </c>
      <c r="E48" s="2">
        <v>5</v>
      </c>
      <c r="F48" s="2">
        <v>2118020</v>
      </c>
      <c r="G48" s="3">
        <v>3.9728928420160951E-2</v>
      </c>
      <c r="H48" s="3">
        <v>8.3155650319829424E-2</v>
      </c>
      <c r="I48" s="3">
        <v>0.12820512820512819</v>
      </c>
      <c r="J48" s="4">
        <v>4</v>
      </c>
      <c r="K48" s="4">
        <v>4</v>
      </c>
      <c r="L48" s="4">
        <v>1650230</v>
      </c>
      <c r="M48" s="5">
        <v>6.7302299495232754E-2</v>
      </c>
      <c r="N48" s="5">
        <v>8.666666666666667E-2</v>
      </c>
      <c r="O48" s="5">
        <v>7.6923076923076927E-2</v>
      </c>
      <c r="P48">
        <v>-1</v>
      </c>
      <c r="Q48" s="1">
        <v>-0.2</v>
      </c>
      <c r="R48">
        <v>-467790</v>
      </c>
      <c r="S48" s="1">
        <v>-0.22086193709218988</v>
      </c>
    </row>
    <row r="49" spans="1:19" x14ac:dyDescent="0.45">
      <c r="A49" t="s">
        <v>17</v>
      </c>
      <c r="B49" t="s">
        <v>18</v>
      </c>
      <c r="C49" t="s">
        <v>123</v>
      </c>
      <c r="D49" s="2">
        <v>14</v>
      </c>
      <c r="E49" s="2">
        <v>16</v>
      </c>
      <c r="F49" s="2">
        <v>6719850</v>
      </c>
      <c r="G49" s="3">
        <v>3.9728928420160951E-2</v>
      </c>
      <c r="H49" s="3">
        <v>8.3155650319829424E-2</v>
      </c>
      <c r="I49" s="3">
        <v>0.41025641025641024</v>
      </c>
      <c r="J49" s="4">
        <v>19</v>
      </c>
      <c r="K49" s="4">
        <v>19</v>
      </c>
      <c r="L49" s="4">
        <v>7952320</v>
      </c>
      <c r="M49" s="5">
        <v>6.7302299495232754E-2</v>
      </c>
      <c r="N49" s="5">
        <v>8.666666666666667E-2</v>
      </c>
      <c r="O49" s="5">
        <v>0.36538461538461536</v>
      </c>
      <c r="P49">
        <v>3</v>
      </c>
      <c r="Q49" s="1">
        <v>0.1875</v>
      </c>
      <c r="R49">
        <v>1232470</v>
      </c>
      <c r="S49" s="1">
        <v>0.18340736772398195</v>
      </c>
    </row>
    <row r="50" spans="1:19" x14ac:dyDescent="0.45">
      <c r="A50" t="s">
        <v>17</v>
      </c>
      <c r="B50" t="s">
        <v>18</v>
      </c>
      <c r="C50" t="s">
        <v>124</v>
      </c>
      <c r="D50" s="2">
        <v>6</v>
      </c>
      <c r="E50" s="2">
        <v>6</v>
      </c>
      <c r="F50" s="2">
        <v>2589410</v>
      </c>
      <c r="G50" s="3">
        <v>3.9728928420160951E-2</v>
      </c>
      <c r="H50" s="3">
        <v>8.3155650319829424E-2</v>
      </c>
      <c r="I50" s="3">
        <v>0.15384615384615385</v>
      </c>
      <c r="J50" s="4">
        <v>6</v>
      </c>
      <c r="K50" s="4">
        <v>6</v>
      </c>
      <c r="L50" s="4">
        <v>2556420</v>
      </c>
      <c r="M50" s="5">
        <v>6.7302299495232754E-2</v>
      </c>
      <c r="N50" s="5">
        <v>8.666666666666667E-2</v>
      </c>
      <c r="O50" s="5">
        <v>0.11538461538461539</v>
      </c>
      <c r="P50">
        <v>0</v>
      </c>
      <c r="Q50" s="1">
        <v>0</v>
      </c>
      <c r="R50">
        <v>-32990</v>
      </c>
      <c r="S50" s="1">
        <v>-1.2740353980250326E-2</v>
      </c>
    </row>
    <row r="51" spans="1:19" x14ac:dyDescent="0.45">
      <c r="A51" t="s">
        <v>17</v>
      </c>
      <c r="B51" t="s">
        <v>18</v>
      </c>
      <c r="C51" t="s">
        <v>125</v>
      </c>
      <c r="D51" s="2">
        <v>5</v>
      </c>
      <c r="E51" s="2">
        <v>6</v>
      </c>
      <c r="F51" s="2">
        <v>2677410</v>
      </c>
      <c r="G51" s="3">
        <v>3.9728928420160951E-2</v>
      </c>
      <c r="H51" s="3">
        <v>8.3155650319829424E-2</v>
      </c>
      <c r="I51" s="3">
        <v>0.15384615384615385</v>
      </c>
      <c r="J51" s="4">
        <v>15</v>
      </c>
      <c r="K51" s="4">
        <v>15</v>
      </c>
      <c r="L51" s="4">
        <v>6512690</v>
      </c>
      <c r="M51" s="5">
        <v>6.7302299495232754E-2</v>
      </c>
      <c r="N51" s="5">
        <v>8.666666666666667E-2</v>
      </c>
      <c r="O51" s="5">
        <v>0.28846153846153844</v>
      </c>
      <c r="P51">
        <v>9</v>
      </c>
      <c r="Q51" s="1">
        <v>1.5</v>
      </c>
      <c r="R51">
        <v>3835280</v>
      </c>
      <c r="S51" s="1">
        <v>1.4324589808807766</v>
      </c>
    </row>
    <row r="52" spans="1:19" x14ac:dyDescent="0.45">
      <c r="A52" t="s">
        <v>17</v>
      </c>
      <c r="B52" t="s">
        <v>18</v>
      </c>
      <c r="C52" t="s">
        <v>126</v>
      </c>
      <c r="D52" s="2">
        <v>4</v>
      </c>
      <c r="E52" s="2">
        <v>4</v>
      </c>
      <c r="F52" s="2">
        <v>1796550</v>
      </c>
      <c r="G52" s="3">
        <v>3.9728928420160951E-2</v>
      </c>
      <c r="H52" s="3">
        <v>8.3155650319829424E-2</v>
      </c>
      <c r="I52" s="3">
        <v>0.10256410256410256</v>
      </c>
      <c r="J52" s="4">
        <v>0</v>
      </c>
      <c r="K52" s="4">
        <v>0</v>
      </c>
      <c r="L52" s="4">
        <v>0</v>
      </c>
      <c r="M52" s="5">
        <v>6.7302299495232754E-2</v>
      </c>
      <c r="N52" s="5">
        <v>8.666666666666667E-2</v>
      </c>
      <c r="O52" s="5">
        <v>0</v>
      </c>
      <c r="P52">
        <v>-4</v>
      </c>
      <c r="Q52" s="1">
        <v>-1</v>
      </c>
      <c r="R52">
        <v>-1796550</v>
      </c>
      <c r="S52" s="1">
        <v>-1</v>
      </c>
    </row>
    <row r="53" spans="1:19" x14ac:dyDescent="0.45">
      <c r="A53" t="s">
        <v>17</v>
      </c>
      <c r="B53" t="s">
        <v>18</v>
      </c>
      <c r="C53" t="s">
        <v>127</v>
      </c>
      <c r="D53" s="2">
        <v>2</v>
      </c>
      <c r="E53" s="2">
        <v>2</v>
      </c>
      <c r="F53" s="2">
        <v>862760</v>
      </c>
      <c r="G53" s="3">
        <v>3.9728928420160951E-2</v>
      </c>
      <c r="H53" s="3">
        <v>8.3155650319829424E-2</v>
      </c>
      <c r="I53" s="3">
        <v>5.128205128205128E-2</v>
      </c>
      <c r="J53" s="4">
        <v>8</v>
      </c>
      <c r="K53" s="4">
        <v>8</v>
      </c>
      <c r="L53" s="4">
        <v>3461310</v>
      </c>
      <c r="M53" s="5">
        <v>6.7302299495232754E-2</v>
      </c>
      <c r="N53" s="5">
        <v>8.666666666666667E-2</v>
      </c>
      <c r="O53" s="5">
        <v>0.15384615384615385</v>
      </c>
      <c r="P53">
        <v>6</v>
      </c>
      <c r="Q53" s="1">
        <v>3</v>
      </c>
      <c r="R53">
        <v>2598550</v>
      </c>
      <c r="S53" s="1">
        <v>3.011903658027725</v>
      </c>
    </row>
    <row r="54" spans="1:19" x14ac:dyDescent="0.45">
      <c r="A54" t="s">
        <v>17</v>
      </c>
      <c r="B54" t="s">
        <v>19</v>
      </c>
      <c r="C54" t="s">
        <v>128</v>
      </c>
      <c r="D54" s="2">
        <v>1</v>
      </c>
      <c r="E54" s="2">
        <v>1</v>
      </c>
      <c r="F54" s="2">
        <v>475150</v>
      </c>
      <c r="G54" s="3">
        <v>3.9728928420160951E-2</v>
      </c>
      <c r="H54" s="3">
        <v>0.13646055437100213</v>
      </c>
      <c r="I54" s="3">
        <v>1.5625E-2</v>
      </c>
      <c r="J54" s="4">
        <v>1</v>
      </c>
      <c r="K54" s="4">
        <v>1</v>
      </c>
      <c r="L54" s="4">
        <v>470450</v>
      </c>
      <c r="M54" s="5">
        <v>6.7302299495232754E-2</v>
      </c>
      <c r="N54" s="5">
        <v>8.666666666666667E-2</v>
      </c>
      <c r="O54" s="5">
        <v>1.9230769230769232E-2</v>
      </c>
      <c r="P54">
        <v>0</v>
      </c>
      <c r="Q54" s="1">
        <v>0</v>
      </c>
      <c r="R54">
        <v>-4700</v>
      </c>
      <c r="S54" s="1">
        <v>-9.8916131747869094E-3</v>
      </c>
    </row>
    <row r="55" spans="1:19" x14ac:dyDescent="0.45">
      <c r="A55" t="s">
        <v>17</v>
      </c>
      <c r="B55" t="s">
        <v>19</v>
      </c>
      <c r="C55" t="s">
        <v>129</v>
      </c>
      <c r="D55" s="2">
        <v>1</v>
      </c>
      <c r="E55" s="2">
        <v>1</v>
      </c>
      <c r="F55" s="2">
        <v>489290</v>
      </c>
      <c r="G55" s="3">
        <v>3.9728928420160951E-2</v>
      </c>
      <c r="H55" s="3">
        <v>0.13646055437100213</v>
      </c>
      <c r="I55" s="3">
        <v>1.5625E-2</v>
      </c>
      <c r="J55" s="4">
        <v>0</v>
      </c>
      <c r="K55" s="4">
        <v>0</v>
      </c>
      <c r="L55" s="4">
        <v>0</v>
      </c>
      <c r="M55" s="5">
        <v>6.7302299495232754E-2</v>
      </c>
      <c r="N55" s="5">
        <v>8.666666666666667E-2</v>
      </c>
      <c r="O55" s="5">
        <v>0</v>
      </c>
      <c r="P55">
        <v>-1</v>
      </c>
      <c r="Q55" s="1">
        <v>-1</v>
      </c>
      <c r="R55">
        <v>-489290</v>
      </c>
      <c r="S55" s="1">
        <v>-1</v>
      </c>
    </row>
    <row r="56" spans="1:19" x14ac:dyDescent="0.45">
      <c r="A56" t="s">
        <v>17</v>
      </c>
      <c r="B56" t="s">
        <v>19</v>
      </c>
      <c r="C56" t="s">
        <v>130</v>
      </c>
      <c r="D56" s="2">
        <v>1</v>
      </c>
      <c r="E56" s="2">
        <v>1</v>
      </c>
      <c r="F56" s="2">
        <v>464800</v>
      </c>
      <c r="G56" s="3">
        <v>3.9728928420160951E-2</v>
      </c>
      <c r="H56" s="3">
        <v>0.13646055437100213</v>
      </c>
      <c r="I56" s="3">
        <v>1.5625E-2</v>
      </c>
      <c r="J56" s="4">
        <v>0</v>
      </c>
      <c r="K56" s="4">
        <v>0</v>
      </c>
      <c r="L56" s="4">
        <v>0</v>
      </c>
      <c r="M56" s="5">
        <v>6.7302299495232754E-2</v>
      </c>
      <c r="N56" s="5">
        <v>8.666666666666667E-2</v>
      </c>
      <c r="O56" s="5">
        <v>0</v>
      </c>
      <c r="P56">
        <v>-1</v>
      </c>
      <c r="Q56" s="1">
        <v>-1</v>
      </c>
      <c r="R56">
        <v>-464800</v>
      </c>
      <c r="S56" s="1">
        <v>-1</v>
      </c>
    </row>
    <row r="57" spans="1:19" x14ac:dyDescent="0.45">
      <c r="A57" t="s">
        <v>17</v>
      </c>
      <c r="B57" t="s">
        <v>19</v>
      </c>
      <c r="C57" t="s">
        <v>131</v>
      </c>
      <c r="D57" s="2">
        <v>0</v>
      </c>
      <c r="E57" s="2">
        <v>0</v>
      </c>
      <c r="F57" s="2">
        <v>0</v>
      </c>
      <c r="G57" s="3">
        <v>3.9728928420160951E-2</v>
      </c>
      <c r="H57" s="3">
        <v>0.13646055437100213</v>
      </c>
      <c r="I57" s="3">
        <v>0</v>
      </c>
      <c r="J57" s="4">
        <v>1</v>
      </c>
      <c r="K57" s="4">
        <v>1</v>
      </c>
      <c r="L57" s="4">
        <v>489290</v>
      </c>
      <c r="M57" s="5">
        <v>6.7302299495232754E-2</v>
      </c>
      <c r="N57" s="5">
        <v>8.666666666666667E-2</v>
      </c>
      <c r="O57" s="5">
        <v>1.9230769230769232E-2</v>
      </c>
      <c r="P57">
        <v>1</v>
      </c>
      <c r="Q57" s="1">
        <v>1</v>
      </c>
      <c r="R57">
        <v>489290</v>
      </c>
      <c r="S57" s="1">
        <v>1</v>
      </c>
    </row>
    <row r="58" spans="1:19" x14ac:dyDescent="0.45">
      <c r="A58" t="s">
        <v>17</v>
      </c>
      <c r="B58" t="s">
        <v>19</v>
      </c>
      <c r="C58" t="s">
        <v>132</v>
      </c>
      <c r="D58" s="2">
        <v>1</v>
      </c>
      <c r="E58" s="2">
        <v>1</v>
      </c>
      <c r="F58" s="2">
        <v>489270</v>
      </c>
      <c r="G58" s="3">
        <v>3.9728928420160951E-2</v>
      </c>
      <c r="H58" s="3">
        <v>0.13646055437100213</v>
      </c>
      <c r="I58" s="3">
        <v>1.5625E-2</v>
      </c>
      <c r="J58" s="4">
        <v>5</v>
      </c>
      <c r="K58" s="4">
        <v>5</v>
      </c>
      <c r="L58" s="4">
        <v>2422900</v>
      </c>
      <c r="M58" s="5">
        <v>6.7302299495232754E-2</v>
      </c>
      <c r="N58" s="5">
        <v>8.666666666666667E-2</v>
      </c>
      <c r="O58" s="5">
        <v>9.6153846153846159E-2</v>
      </c>
      <c r="P58">
        <v>4</v>
      </c>
      <c r="Q58" s="1">
        <v>4</v>
      </c>
      <c r="R58">
        <v>1933630</v>
      </c>
      <c r="S58" s="1">
        <v>3.9520714533897441</v>
      </c>
    </row>
    <row r="59" spans="1:19" x14ac:dyDescent="0.45">
      <c r="A59" t="s">
        <v>17</v>
      </c>
      <c r="B59" t="s">
        <v>19</v>
      </c>
      <c r="C59" t="s">
        <v>133</v>
      </c>
      <c r="D59" s="2">
        <v>5</v>
      </c>
      <c r="E59" s="2">
        <v>5</v>
      </c>
      <c r="F59" s="2">
        <v>2464410</v>
      </c>
      <c r="G59" s="3">
        <v>3.9728928420160951E-2</v>
      </c>
      <c r="H59" s="3">
        <v>0.13646055437100213</v>
      </c>
      <c r="I59" s="3">
        <v>7.8125E-2</v>
      </c>
      <c r="J59" s="4">
        <v>1</v>
      </c>
      <c r="K59" s="4">
        <v>1</v>
      </c>
      <c r="L59" s="4">
        <v>506210</v>
      </c>
      <c r="M59" s="5">
        <v>6.7302299495232754E-2</v>
      </c>
      <c r="N59" s="5">
        <v>8.666666666666667E-2</v>
      </c>
      <c r="O59" s="5">
        <v>1.9230769230769232E-2</v>
      </c>
      <c r="P59">
        <v>-4</v>
      </c>
      <c r="Q59" s="1">
        <v>-0.8</v>
      </c>
      <c r="R59">
        <v>-1958200</v>
      </c>
      <c r="S59" s="1">
        <v>-0.79459180899282178</v>
      </c>
    </row>
    <row r="60" spans="1:19" x14ac:dyDescent="0.45">
      <c r="A60" t="s">
        <v>17</v>
      </c>
      <c r="B60" t="s">
        <v>19</v>
      </c>
      <c r="C60" t="s">
        <v>134</v>
      </c>
      <c r="D60" s="2">
        <v>1</v>
      </c>
      <c r="E60" s="2">
        <v>1</v>
      </c>
      <c r="F60" s="2">
        <v>480880</v>
      </c>
      <c r="G60" s="3">
        <v>3.9728928420160951E-2</v>
      </c>
      <c r="H60" s="3">
        <v>0.13646055437100213</v>
      </c>
      <c r="I60" s="3">
        <v>1.5625E-2</v>
      </c>
      <c r="J60" s="4">
        <v>2</v>
      </c>
      <c r="K60" s="4">
        <v>2</v>
      </c>
      <c r="L60" s="4">
        <v>993580</v>
      </c>
      <c r="M60" s="5">
        <v>6.7302299495232754E-2</v>
      </c>
      <c r="N60" s="5">
        <v>8.666666666666667E-2</v>
      </c>
      <c r="O60" s="5">
        <v>3.8461538461538464E-2</v>
      </c>
      <c r="P60">
        <v>1</v>
      </c>
      <c r="Q60" s="1">
        <v>1</v>
      </c>
      <c r="R60">
        <v>512700</v>
      </c>
      <c r="S60" s="1">
        <v>1.0661703543503578</v>
      </c>
    </row>
    <row r="61" spans="1:19" x14ac:dyDescent="0.45">
      <c r="A61" t="s">
        <v>17</v>
      </c>
      <c r="B61" t="s">
        <v>19</v>
      </c>
      <c r="C61" t="s">
        <v>135</v>
      </c>
      <c r="D61" s="2">
        <v>3</v>
      </c>
      <c r="E61" s="2">
        <v>3</v>
      </c>
      <c r="F61" s="2">
        <v>1479190</v>
      </c>
      <c r="G61" s="3">
        <v>3.9728928420160951E-2</v>
      </c>
      <c r="H61" s="3">
        <v>0.13646055437100213</v>
      </c>
      <c r="I61" s="3">
        <v>4.6875E-2</v>
      </c>
      <c r="J61" s="4">
        <v>2</v>
      </c>
      <c r="K61" s="4">
        <v>2</v>
      </c>
      <c r="L61" s="4">
        <v>1012420</v>
      </c>
      <c r="M61" s="5">
        <v>6.7302299495232754E-2</v>
      </c>
      <c r="N61" s="5">
        <v>8.666666666666667E-2</v>
      </c>
      <c r="O61" s="5">
        <v>3.8461538461538464E-2</v>
      </c>
      <c r="P61">
        <v>-1</v>
      </c>
      <c r="Q61" s="1">
        <v>-0.33333333333333331</v>
      </c>
      <c r="R61">
        <v>-466770</v>
      </c>
      <c r="S61" s="1">
        <v>-0.31555783908760876</v>
      </c>
    </row>
    <row r="62" spans="1:19" x14ac:dyDescent="0.45">
      <c r="A62" t="s">
        <v>17</v>
      </c>
      <c r="B62" t="s">
        <v>19</v>
      </c>
      <c r="C62" t="s">
        <v>136</v>
      </c>
      <c r="D62" s="2">
        <v>12</v>
      </c>
      <c r="E62" s="2">
        <v>14</v>
      </c>
      <c r="F62" s="2">
        <v>6845660</v>
      </c>
      <c r="G62" s="3">
        <v>3.9728928420160951E-2</v>
      </c>
      <c r="H62" s="3">
        <v>0.13646055437100213</v>
      </c>
      <c r="I62" s="3">
        <v>0.21875</v>
      </c>
      <c r="J62" s="4">
        <v>14</v>
      </c>
      <c r="K62" s="4">
        <v>16</v>
      </c>
      <c r="L62" s="4">
        <v>7830030</v>
      </c>
      <c r="M62" s="5">
        <v>6.7302299495232754E-2</v>
      </c>
      <c r="N62" s="5">
        <v>8.666666666666667E-2</v>
      </c>
      <c r="O62" s="5">
        <v>0.30769230769230771</v>
      </c>
      <c r="P62">
        <v>2</v>
      </c>
      <c r="Q62" s="1">
        <v>0.14285714285714285</v>
      </c>
      <c r="R62">
        <v>984370</v>
      </c>
      <c r="S62" s="1">
        <v>0.14379475463286229</v>
      </c>
    </row>
    <row r="63" spans="1:19" x14ac:dyDescent="0.45">
      <c r="A63" t="s">
        <v>17</v>
      </c>
      <c r="B63" t="s">
        <v>19</v>
      </c>
      <c r="C63" t="s">
        <v>137</v>
      </c>
      <c r="D63" s="2">
        <v>1</v>
      </c>
      <c r="E63" s="2">
        <v>1</v>
      </c>
      <c r="F63" s="2">
        <v>443260</v>
      </c>
      <c r="G63" s="3">
        <v>3.9728928420160951E-2</v>
      </c>
      <c r="H63" s="3">
        <v>0.13646055437100213</v>
      </c>
      <c r="I63" s="3">
        <v>1.5625E-2</v>
      </c>
      <c r="J63" s="4">
        <v>0</v>
      </c>
      <c r="K63" s="4">
        <v>0</v>
      </c>
      <c r="L63" s="4">
        <v>0</v>
      </c>
      <c r="M63" s="5">
        <v>6.7302299495232754E-2</v>
      </c>
      <c r="N63" s="5">
        <v>8.666666666666667E-2</v>
      </c>
      <c r="O63" s="5">
        <v>0</v>
      </c>
      <c r="P63">
        <v>-1</v>
      </c>
      <c r="Q63" s="1">
        <v>-1</v>
      </c>
      <c r="R63">
        <v>-443260</v>
      </c>
      <c r="S63" s="1">
        <v>-1</v>
      </c>
    </row>
    <row r="64" spans="1:19" x14ac:dyDescent="0.45">
      <c r="A64" t="s">
        <v>17</v>
      </c>
      <c r="B64" t="s">
        <v>19</v>
      </c>
      <c r="C64" t="s">
        <v>138</v>
      </c>
      <c r="D64" s="2">
        <v>5</v>
      </c>
      <c r="E64" s="2">
        <v>5</v>
      </c>
      <c r="F64" s="2">
        <v>2554560</v>
      </c>
      <c r="G64" s="3">
        <v>3.9728928420160951E-2</v>
      </c>
      <c r="H64" s="3">
        <v>0.13646055437100213</v>
      </c>
      <c r="I64" s="3">
        <v>7.8125E-2</v>
      </c>
      <c r="J64" s="4">
        <v>0</v>
      </c>
      <c r="K64" s="4">
        <v>0</v>
      </c>
      <c r="L64" s="4">
        <v>0</v>
      </c>
      <c r="M64" s="5">
        <v>6.7302299495232754E-2</v>
      </c>
      <c r="N64" s="5">
        <v>8.666666666666667E-2</v>
      </c>
      <c r="O64" s="5">
        <v>0</v>
      </c>
      <c r="P64">
        <v>-5</v>
      </c>
      <c r="Q64" s="1">
        <v>-1</v>
      </c>
      <c r="R64">
        <v>-2554560</v>
      </c>
      <c r="S64" s="1">
        <v>-1</v>
      </c>
    </row>
    <row r="65" spans="1:19" x14ac:dyDescent="0.45">
      <c r="A65" t="s">
        <v>17</v>
      </c>
      <c r="B65" t="s">
        <v>19</v>
      </c>
      <c r="C65" t="s">
        <v>139</v>
      </c>
      <c r="D65" s="2">
        <v>9</v>
      </c>
      <c r="E65" s="2">
        <v>10</v>
      </c>
      <c r="F65" s="2">
        <v>5010730</v>
      </c>
      <c r="G65" s="3">
        <v>3.9728928420160951E-2</v>
      </c>
      <c r="H65" s="3">
        <v>0.13646055437100213</v>
      </c>
      <c r="I65" s="3">
        <v>0.15625</v>
      </c>
      <c r="J65" s="4">
        <v>5</v>
      </c>
      <c r="K65" s="4">
        <v>7</v>
      </c>
      <c r="L65" s="4">
        <v>3532460</v>
      </c>
      <c r="M65" s="5">
        <v>6.7302299495232754E-2</v>
      </c>
      <c r="N65" s="5">
        <v>8.666666666666667E-2</v>
      </c>
      <c r="O65" s="5">
        <v>0.13461538461538461</v>
      </c>
      <c r="P65">
        <v>-3</v>
      </c>
      <c r="Q65" s="1">
        <v>-0.3</v>
      </c>
      <c r="R65">
        <v>-1478270</v>
      </c>
      <c r="S65" s="1">
        <v>-0.29502088518040287</v>
      </c>
    </row>
    <row r="66" spans="1:19" x14ac:dyDescent="0.45">
      <c r="A66" t="s">
        <v>17</v>
      </c>
      <c r="B66" t="s">
        <v>19</v>
      </c>
      <c r="C66" t="s">
        <v>140</v>
      </c>
      <c r="D66" s="2">
        <v>1</v>
      </c>
      <c r="E66" s="2">
        <v>1</v>
      </c>
      <c r="F66" s="2">
        <v>544170</v>
      </c>
      <c r="G66" s="3">
        <v>3.9728928420160951E-2</v>
      </c>
      <c r="H66" s="3">
        <v>0.13646055437100213</v>
      </c>
      <c r="I66" s="3">
        <v>1.5625E-2</v>
      </c>
      <c r="J66" s="4">
        <v>0</v>
      </c>
      <c r="K66" s="4">
        <v>0</v>
      </c>
      <c r="L66" s="4">
        <v>0</v>
      </c>
      <c r="M66" s="5">
        <v>6.7302299495232754E-2</v>
      </c>
      <c r="N66" s="5">
        <v>8.666666666666667E-2</v>
      </c>
      <c r="O66" s="5">
        <v>0</v>
      </c>
      <c r="P66">
        <v>-1</v>
      </c>
      <c r="Q66" s="1">
        <v>-1</v>
      </c>
      <c r="R66">
        <v>-544170</v>
      </c>
      <c r="S66" s="1">
        <v>-1</v>
      </c>
    </row>
    <row r="67" spans="1:19" x14ac:dyDescent="0.45">
      <c r="A67" t="s">
        <v>17</v>
      </c>
      <c r="B67" t="s">
        <v>19</v>
      </c>
      <c r="C67" t="s">
        <v>141</v>
      </c>
      <c r="D67" s="2">
        <v>1</v>
      </c>
      <c r="E67" s="2">
        <v>1</v>
      </c>
      <c r="F67" s="2">
        <v>526900</v>
      </c>
      <c r="G67" s="3">
        <v>3.9728928420160951E-2</v>
      </c>
      <c r="H67" s="3">
        <v>0.13646055437100213</v>
      </c>
      <c r="I67" s="3">
        <v>1.5625E-2</v>
      </c>
      <c r="J67" s="4">
        <v>0</v>
      </c>
      <c r="K67" s="4">
        <v>0</v>
      </c>
      <c r="L67" s="4">
        <v>0</v>
      </c>
      <c r="M67" s="5">
        <v>6.7302299495232754E-2</v>
      </c>
      <c r="N67" s="5">
        <v>8.666666666666667E-2</v>
      </c>
      <c r="O67" s="5">
        <v>0</v>
      </c>
      <c r="P67">
        <v>-1</v>
      </c>
      <c r="Q67" s="1">
        <v>-1</v>
      </c>
      <c r="R67">
        <v>-526900</v>
      </c>
      <c r="S67" s="1">
        <v>-1</v>
      </c>
    </row>
    <row r="68" spans="1:19" x14ac:dyDescent="0.45">
      <c r="A68" t="s">
        <v>17</v>
      </c>
      <c r="B68" t="s">
        <v>19</v>
      </c>
      <c r="C68" t="s">
        <v>142</v>
      </c>
      <c r="D68" s="2">
        <v>4</v>
      </c>
      <c r="E68" s="2">
        <v>4</v>
      </c>
      <c r="F68" s="2">
        <v>2070860</v>
      </c>
      <c r="G68" s="3">
        <v>3.9728928420160951E-2</v>
      </c>
      <c r="H68" s="3">
        <v>0.13646055437100213</v>
      </c>
      <c r="I68" s="3">
        <v>6.25E-2</v>
      </c>
      <c r="J68" s="4">
        <v>0</v>
      </c>
      <c r="K68" s="4">
        <v>0</v>
      </c>
      <c r="L68" s="4">
        <v>0</v>
      </c>
      <c r="M68" s="5">
        <v>6.7302299495232754E-2</v>
      </c>
      <c r="N68" s="5">
        <v>8.666666666666667E-2</v>
      </c>
      <c r="O68" s="5">
        <v>0</v>
      </c>
      <c r="P68">
        <v>-4</v>
      </c>
      <c r="Q68" s="1">
        <v>-1</v>
      </c>
      <c r="R68">
        <v>-2070860</v>
      </c>
      <c r="S68" s="1">
        <v>-1</v>
      </c>
    </row>
    <row r="69" spans="1:19" x14ac:dyDescent="0.45">
      <c r="A69" t="s">
        <v>17</v>
      </c>
      <c r="B69" t="s">
        <v>19</v>
      </c>
      <c r="C69" t="s">
        <v>143</v>
      </c>
      <c r="D69" s="2">
        <v>0</v>
      </c>
      <c r="E69" s="2">
        <v>0</v>
      </c>
      <c r="F69" s="2">
        <v>0</v>
      </c>
      <c r="G69" s="3">
        <v>3.9728928420160951E-2</v>
      </c>
      <c r="H69" s="3">
        <v>0.13646055437100213</v>
      </c>
      <c r="I69" s="3">
        <v>0</v>
      </c>
      <c r="J69" s="4">
        <v>2</v>
      </c>
      <c r="K69" s="4">
        <v>2</v>
      </c>
      <c r="L69" s="4">
        <v>1053190</v>
      </c>
      <c r="M69" s="5">
        <v>6.7302299495232754E-2</v>
      </c>
      <c r="N69" s="5">
        <v>8.666666666666667E-2</v>
      </c>
      <c r="O69" s="5">
        <v>3.8461538461538464E-2</v>
      </c>
      <c r="P69">
        <v>2</v>
      </c>
      <c r="Q69" s="1">
        <v>1</v>
      </c>
      <c r="R69">
        <v>1053190</v>
      </c>
      <c r="S69" s="1">
        <v>1</v>
      </c>
    </row>
    <row r="70" spans="1:19" x14ac:dyDescent="0.45">
      <c r="A70" t="s">
        <v>17</v>
      </c>
      <c r="B70" t="s">
        <v>19</v>
      </c>
      <c r="C70" t="s">
        <v>144</v>
      </c>
      <c r="D70" s="2">
        <v>2</v>
      </c>
      <c r="E70" s="2">
        <v>2</v>
      </c>
      <c r="F70" s="2">
        <v>1088840</v>
      </c>
      <c r="G70" s="3">
        <v>3.9728928420160951E-2</v>
      </c>
      <c r="H70" s="3">
        <v>0.13646055437100213</v>
      </c>
      <c r="I70" s="3">
        <v>3.125E-2</v>
      </c>
      <c r="J70" s="4">
        <v>2</v>
      </c>
      <c r="K70" s="4">
        <v>2</v>
      </c>
      <c r="L70" s="4">
        <v>1088840</v>
      </c>
      <c r="M70" s="5">
        <v>6.7302299495232754E-2</v>
      </c>
      <c r="N70" s="5">
        <v>8.666666666666667E-2</v>
      </c>
      <c r="O70" s="5">
        <v>3.8461538461538464E-2</v>
      </c>
      <c r="P70">
        <v>0</v>
      </c>
      <c r="Q70" s="1">
        <v>0</v>
      </c>
      <c r="R70">
        <v>0</v>
      </c>
      <c r="S70" s="1">
        <v>0</v>
      </c>
    </row>
    <row r="71" spans="1:19" x14ac:dyDescent="0.45">
      <c r="A71" t="s">
        <v>17</v>
      </c>
      <c r="B71" t="s">
        <v>19</v>
      </c>
      <c r="C71" t="s">
        <v>145</v>
      </c>
      <c r="D71" s="2">
        <v>1</v>
      </c>
      <c r="E71" s="2">
        <v>1</v>
      </c>
      <c r="F71" s="2">
        <v>491150</v>
      </c>
      <c r="G71" s="3">
        <v>3.9728928420160951E-2</v>
      </c>
      <c r="H71" s="3">
        <v>0.13646055437100213</v>
      </c>
      <c r="I71" s="3">
        <v>1.5625E-2</v>
      </c>
      <c r="J71" s="4">
        <v>0</v>
      </c>
      <c r="K71" s="4">
        <v>0</v>
      </c>
      <c r="L71" s="4">
        <v>0</v>
      </c>
      <c r="M71" s="5">
        <v>6.7302299495232754E-2</v>
      </c>
      <c r="N71" s="5">
        <v>8.666666666666667E-2</v>
      </c>
      <c r="O71" s="5">
        <v>0</v>
      </c>
      <c r="P71">
        <v>-1</v>
      </c>
      <c r="Q71" s="1">
        <v>-1</v>
      </c>
      <c r="R71">
        <v>-491150</v>
      </c>
      <c r="S71" s="1">
        <v>-1</v>
      </c>
    </row>
    <row r="72" spans="1:19" x14ac:dyDescent="0.45">
      <c r="A72" t="s">
        <v>17</v>
      </c>
      <c r="B72" t="s">
        <v>19</v>
      </c>
      <c r="C72" t="s">
        <v>146</v>
      </c>
      <c r="D72" s="2">
        <v>1</v>
      </c>
      <c r="E72" s="2">
        <v>1</v>
      </c>
      <c r="F72" s="2">
        <v>505260</v>
      </c>
      <c r="G72" s="3">
        <v>3.9728928420160951E-2</v>
      </c>
      <c r="H72" s="3">
        <v>0.13646055437100213</v>
      </c>
      <c r="I72" s="3">
        <v>1.5625E-2</v>
      </c>
      <c r="J72" s="4">
        <v>0</v>
      </c>
      <c r="K72" s="4">
        <v>0</v>
      </c>
      <c r="L72" s="4">
        <v>0</v>
      </c>
      <c r="M72" s="5">
        <v>6.7302299495232754E-2</v>
      </c>
      <c r="N72" s="5">
        <v>8.666666666666667E-2</v>
      </c>
      <c r="O72" s="5">
        <v>0</v>
      </c>
      <c r="P72">
        <v>-1</v>
      </c>
      <c r="Q72" s="1">
        <v>-1</v>
      </c>
      <c r="R72">
        <v>-505260</v>
      </c>
      <c r="S72" s="1">
        <v>-1</v>
      </c>
    </row>
    <row r="73" spans="1:19" x14ac:dyDescent="0.45">
      <c r="A73" t="s">
        <v>17</v>
      </c>
      <c r="B73" t="s">
        <v>19</v>
      </c>
      <c r="C73" t="s">
        <v>147</v>
      </c>
      <c r="D73" s="2">
        <v>0</v>
      </c>
      <c r="E73" s="2">
        <v>0</v>
      </c>
      <c r="F73" s="2">
        <v>0</v>
      </c>
      <c r="G73" s="3">
        <v>3.9728928420160951E-2</v>
      </c>
      <c r="H73" s="3">
        <v>0.13646055437100213</v>
      </c>
      <c r="I73" s="3">
        <v>0</v>
      </c>
      <c r="J73" s="4">
        <v>2</v>
      </c>
      <c r="K73" s="4">
        <v>2</v>
      </c>
      <c r="L73" s="4">
        <v>990770</v>
      </c>
      <c r="M73" s="5">
        <v>6.7302299495232754E-2</v>
      </c>
      <c r="N73" s="5">
        <v>8.666666666666667E-2</v>
      </c>
      <c r="O73" s="5">
        <v>3.8461538461538464E-2</v>
      </c>
      <c r="P73">
        <v>2</v>
      </c>
      <c r="Q73" s="1">
        <v>1</v>
      </c>
      <c r="R73">
        <v>990770</v>
      </c>
      <c r="S73" s="1">
        <v>1</v>
      </c>
    </row>
    <row r="74" spans="1:19" x14ac:dyDescent="0.45">
      <c r="A74" t="s">
        <v>17</v>
      </c>
      <c r="B74" t="s">
        <v>19</v>
      </c>
      <c r="C74" t="s">
        <v>148</v>
      </c>
      <c r="D74" s="2">
        <v>1</v>
      </c>
      <c r="E74" s="2">
        <v>1</v>
      </c>
      <c r="F74" s="2">
        <v>491140</v>
      </c>
      <c r="G74" s="3">
        <v>3.9728928420160951E-2</v>
      </c>
      <c r="H74" s="3">
        <v>0.13646055437100213</v>
      </c>
      <c r="I74" s="3">
        <v>1.5625E-2</v>
      </c>
      <c r="J74" s="4">
        <v>2</v>
      </c>
      <c r="K74" s="4">
        <v>2</v>
      </c>
      <c r="L74" s="4">
        <v>1026140</v>
      </c>
      <c r="M74" s="5">
        <v>6.7302299495232754E-2</v>
      </c>
      <c r="N74" s="5">
        <v>8.666666666666667E-2</v>
      </c>
      <c r="O74" s="5">
        <v>3.8461538461538464E-2</v>
      </c>
      <c r="P74">
        <v>1</v>
      </c>
      <c r="Q74" s="1">
        <v>1</v>
      </c>
      <c r="R74">
        <v>535000</v>
      </c>
      <c r="S74" s="1">
        <v>1.0893024392230322</v>
      </c>
    </row>
    <row r="75" spans="1:19" x14ac:dyDescent="0.45">
      <c r="A75" t="s">
        <v>17</v>
      </c>
      <c r="B75" t="s">
        <v>19</v>
      </c>
      <c r="C75" t="s">
        <v>149</v>
      </c>
      <c r="D75" s="2">
        <v>0</v>
      </c>
      <c r="E75" s="2">
        <v>0</v>
      </c>
      <c r="F75" s="2">
        <v>-94820</v>
      </c>
      <c r="G75" s="3">
        <v>3.9728928420160951E-2</v>
      </c>
      <c r="H75" s="3">
        <v>0.13646055437100213</v>
      </c>
      <c r="I75" s="3">
        <v>0</v>
      </c>
      <c r="J75" s="4">
        <v>0</v>
      </c>
      <c r="K75" s="4">
        <v>0</v>
      </c>
      <c r="L75" s="4">
        <v>0</v>
      </c>
      <c r="M75" s="5">
        <v>6.7302299495232754E-2</v>
      </c>
      <c r="N75" s="5">
        <v>8.666666666666667E-2</v>
      </c>
      <c r="O75" s="5">
        <v>0</v>
      </c>
      <c r="P75">
        <v>0</v>
      </c>
      <c r="Q75" s="1">
        <v>0</v>
      </c>
      <c r="R75">
        <v>94820</v>
      </c>
      <c r="S75" s="1">
        <v>-1</v>
      </c>
    </row>
    <row r="76" spans="1:19" x14ac:dyDescent="0.45">
      <c r="A76" t="s">
        <v>17</v>
      </c>
      <c r="B76" t="s">
        <v>19</v>
      </c>
      <c r="C76" t="s">
        <v>150</v>
      </c>
      <c r="D76" s="2">
        <v>0</v>
      </c>
      <c r="E76" s="2">
        <v>0</v>
      </c>
      <c r="F76" s="2">
        <v>0</v>
      </c>
      <c r="G76" s="3">
        <v>3.9728928420160951E-2</v>
      </c>
      <c r="H76" s="3">
        <v>0.13646055437100213</v>
      </c>
      <c r="I76" s="3">
        <v>0</v>
      </c>
      <c r="J76" s="4">
        <v>3</v>
      </c>
      <c r="K76" s="4">
        <v>3</v>
      </c>
      <c r="L76" s="4">
        <v>1582730</v>
      </c>
      <c r="M76" s="5">
        <v>6.7302299495232754E-2</v>
      </c>
      <c r="N76" s="5">
        <v>8.666666666666667E-2</v>
      </c>
      <c r="O76" s="5">
        <v>5.7692307692307696E-2</v>
      </c>
      <c r="P76">
        <v>3</v>
      </c>
      <c r="Q76" s="1">
        <v>1</v>
      </c>
      <c r="R76">
        <v>1582730</v>
      </c>
      <c r="S76" s="1">
        <v>1</v>
      </c>
    </row>
    <row r="77" spans="1:19" x14ac:dyDescent="0.45">
      <c r="A77" t="s">
        <v>17</v>
      </c>
      <c r="B77" t="s">
        <v>19</v>
      </c>
      <c r="C77" t="s">
        <v>151</v>
      </c>
      <c r="D77" s="2">
        <v>1</v>
      </c>
      <c r="E77" s="2">
        <v>1</v>
      </c>
      <c r="F77" s="2">
        <v>496080</v>
      </c>
      <c r="G77" s="3">
        <v>3.9728928420160951E-2</v>
      </c>
      <c r="H77" s="3">
        <v>0.13646055437100213</v>
      </c>
      <c r="I77" s="3">
        <v>1.5625E-2</v>
      </c>
      <c r="J77" s="4">
        <v>1</v>
      </c>
      <c r="K77" s="4">
        <v>1</v>
      </c>
      <c r="L77" s="4">
        <v>496080</v>
      </c>
      <c r="M77" s="5">
        <v>6.7302299495232754E-2</v>
      </c>
      <c r="N77" s="5">
        <v>8.666666666666667E-2</v>
      </c>
      <c r="O77" s="5">
        <v>1.9230769230769232E-2</v>
      </c>
      <c r="P77">
        <v>0</v>
      </c>
      <c r="Q77" s="1">
        <v>0</v>
      </c>
      <c r="R77">
        <v>0</v>
      </c>
      <c r="S77" s="1">
        <v>0</v>
      </c>
    </row>
    <row r="78" spans="1:19" x14ac:dyDescent="0.45">
      <c r="A78" t="s">
        <v>17</v>
      </c>
      <c r="B78" t="s">
        <v>19</v>
      </c>
      <c r="C78" t="s">
        <v>152</v>
      </c>
      <c r="D78" s="2">
        <v>0</v>
      </c>
      <c r="E78" s="2">
        <v>0</v>
      </c>
      <c r="F78" s="2">
        <v>0</v>
      </c>
      <c r="G78" s="3">
        <v>3.9728928420160951E-2</v>
      </c>
      <c r="H78" s="3">
        <v>0.13646055437100213</v>
      </c>
      <c r="I78" s="3">
        <v>0</v>
      </c>
      <c r="J78" s="4">
        <v>1</v>
      </c>
      <c r="K78" s="4">
        <v>1</v>
      </c>
      <c r="L78" s="4">
        <v>532540</v>
      </c>
      <c r="M78" s="5">
        <v>6.7302299495232754E-2</v>
      </c>
      <c r="N78" s="5">
        <v>8.666666666666667E-2</v>
      </c>
      <c r="O78" s="5">
        <v>1.9230769230769232E-2</v>
      </c>
      <c r="P78">
        <v>1</v>
      </c>
      <c r="Q78" s="1">
        <v>1</v>
      </c>
      <c r="R78">
        <v>532540</v>
      </c>
      <c r="S78" s="1">
        <v>1</v>
      </c>
    </row>
    <row r="79" spans="1:19" x14ac:dyDescent="0.45">
      <c r="A79" t="s">
        <v>17</v>
      </c>
      <c r="B79" t="s">
        <v>19</v>
      </c>
      <c r="C79" t="s">
        <v>153</v>
      </c>
      <c r="D79" s="2">
        <v>1</v>
      </c>
      <c r="E79" s="2">
        <v>1</v>
      </c>
      <c r="F79" s="2">
        <v>532550</v>
      </c>
      <c r="G79" s="3">
        <v>3.9728928420160951E-2</v>
      </c>
      <c r="H79" s="3">
        <v>0.13646055437100213</v>
      </c>
      <c r="I79" s="3">
        <v>1.5625E-2</v>
      </c>
      <c r="J79" s="4">
        <v>0</v>
      </c>
      <c r="K79" s="4">
        <v>0</v>
      </c>
      <c r="L79" s="4">
        <v>0</v>
      </c>
      <c r="M79" s="5">
        <v>6.7302299495232754E-2</v>
      </c>
      <c r="N79" s="5">
        <v>8.666666666666667E-2</v>
      </c>
      <c r="O79" s="5">
        <v>0</v>
      </c>
      <c r="P79">
        <v>-1</v>
      </c>
      <c r="Q79" s="1">
        <v>-1</v>
      </c>
      <c r="R79">
        <v>-532550</v>
      </c>
      <c r="S79" s="1">
        <v>-1</v>
      </c>
    </row>
    <row r="80" spans="1:19" x14ac:dyDescent="0.45">
      <c r="A80" t="s">
        <v>17</v>
      </c>
      <c r="B80" t="s">
        <v>19</v>
      </c>
      <c r="C80" t="s">
        <v>154</v>
      </c>
      <c r="D80" s="2">
        <v>0</v>
      </c>
      <c r="E80" s="2">
        <v>0</v>
      </c>
      <c r="F80" s="2">
        <v>0</v>
      </c>
      <c r="G80" s="3">
        <v>3.9728928420160951E-2</v>
      </c>
      <c r="H80" s="3">
        <v>0.13646055437100213</v>
      </c>
      <c r="I80" s="3">
        <v>0</v>
      </c>
      <c r="J80" s="4">
        <v>1</v>
      </c>
      <c r="K80" s="4">
        <v>1</v>
      </c>
      <c r="L80" s="4">
        <v>532540</v>
      </c>
      <c r="M80" s="5">
        <v>6.7302299495232754E-2</v>
      </c>
      <c r="N80" s="5">
        <v>8.666666666666667E-2</v>
      </c>
      <c r="O80" s="5">
        <v>1.9230769230769232E-2</v>
      </c>
      <c r="P80">
        <v>1</v>
      </c>
      <c r="Q80" s="1">
        <v>1</v>
      </c>
      <c r="R80">
        <v>532540</v>
      </c>
      <c r="S80" s="1">
        <v>1</v>
      </c>
    </row>
    <row r="81" spans="1:19" x14ac:dyDescent="0.45">
      <c r="A81" t="s">
        <v>17</v>
      </c>
      <c r="B81" t="s">
        <v>19</v>
      </c>
      <c r="C81" t="s">
        <v>155</v>
      </c>
      <c r="D81" s="2">
        <v>3</v>
      </c>
      <c r="E81" s="2">
        <v>4</v>
      </c>
      <c r="F81" s="2">
        <v>2105410</v>
      </c>
      <c r="G81" s="3">
        <v>3.9728928420160951E-2</v>
      </c>
      <c r="H81" s="3">
        <v>0.13646055437100213</v>
      </c>
      <c r="I81" s="3">
        <v>6.25E-2</v>
      </c>
      <c r="J81" s="4">
        <v>1</v>
      </c>
      <c r="K81" s="4">
        <v>1</v>
      </c>
      <c r="L81" s="4">
        <v>513750</v>
      </c>
      <c r="M81" s="5">
        <v>6.7302299495232754E-2</v>
      </c>
      <c r="N81" s="5">
        <v>8.666666666666667E-2</v>
      </c>
      <c r="O81" s="5">
        <v>1.9230769230769232E-2</v>
      </c>
      <c r="P81">
        <v>-3</v>
      </c>
      <c r="Q81" s="1">
        <v>-0.75</v>
      </c>
      <c r="R81">
        <v>-1591660</v>
      </c>
      <c r="S81" s="1">
        <v>-0.75598576999254297</v>
      </c>
    </row>
    <row r="82" spans="1:19" x14ac:dyDescent="0.45">
      <c r="A82" t="s">
        <v>17</v>
      </c>
      <c r="B82" t="s">
        <v>19</v>
      </c>
      <c r="C82" t="s">
        <v>156</v>
      </c>
      <c r="D82" s="2">
        <v>1</v>
      </c>
      <c r="E82" s="2">
        <v>1</v>
      </c>
      <c r="F82" s="2">
        <v>560650</v>
      </c>
      <c r="G82" s="3">
        <v>3.9728928420160951E-2</v>
      </c>
      <c r="H82" s="3">
        <v>0.13646055437100213</v>
      </c>
      <c r="I82" s="3">
        <v>1.5625E-2</v>
      </c>
      <c r="J82" s="4">
        <v>0</v>
      </c>
      <c r="K82" s="4">
        <v>0</v>
      </c>
      <c r="L82" s="4">
        <v>0</v>
      </c>
      <c r="M82" s="5">
        <v>6.7302299495232754E-2</v>
      </c>
      <c r="N82" s="5">
        <v>8.666666666666667E-2</v>
      </c>
      <c r="O82" s="5">
        <v>0</v>
      </c>
      <c r="P82">
        <v>-1</v>
      </c>
      <c r="Q82" s="1">
        <v>-1</v>
      </c>
      <c r="R82">
        <v>-560650</v>
      </c>
      <c r="S82" s="1">
        <v>-1</v>
      </c>
    </row>
    <row r="83" spans="1:19" x14ac:dyDescent="0.45">
      <c r="A83" t="s">
        <v>17</v>
      </c>
      <c r="B83" t="s">
        <v>19</v>
      </c>
      <c r="C83" t="s">
        <v>157</v>
      </c>
      <c r="D83" s="2">
        <v>1</v>
      </c>
      <c r="E83" s="2">
        <v>1</v>
      </c>
      <c r="F83" s="2">
        <v>543840</v>
      </c>
      <c r="G83" s="3">
        <v>3.9728928420160951E-2</v>
      </c>
      <c r="H83" s="3">
        <v>0.13646055437100213</v>
      </c>
      <c r="I83" s="3">
        <v>1.5625E-2</v>
      </c>
      <c r="J83" s="4">
        <v>1</v>
      </c>
      <c r="K83" s="4">
        <v>1</v>
      </c>
      <c r="L83" s="4">
        <v>543840</v>
      </c>
      <c r="M83" s="5">
        <v>6.7302299495232754E-2</v>
      </c>
      <c r="N83" s="5">
        <v>8.666666666666667E-2</v>
      </c>
      <c r="O83" s="5">
        <v>1.9230769230769232E-2</v>
      </c>
      <c r="P83">
        <v>0</v>
      </c>
      <c r="Q83" s="1">
        <v>0</v>
      </c>
      <c r="R83">
        <v>0</v>
      </c>
      <c r="S83" s="1">
        <v>0</v>
      </c>
    </row>
    <row r="84" spans="1:19" x14ac:dyDescent="0.45">
      <c r="A84" t="s">
        <v>17</v>
      </c>
      <c r="B84" t="s">
        <v>19</v>
      </c>
      <c r="C84" t="s">
        <v>158</v>
      </c>
      <c r="D84" s="2">
        <v>2</v>
      </c>
      <c r="E84" s="2">
        <v>2</v>
      </c>
      <c r="F84" s="2">
        <v>1104500</v>
      </c>
      <c r="G84" s="3">
        <v>3.9728928420160951E-2</v>
      </c>
      <c r="H84" s="3">
        <v>0.13646055437100213</v>
      </c>
      <c r="I84" s="3">
        <v>3.125E-2</v>
      </c>
      <c r="J84" s="4">
        <v>0</v>
      </c>
      <c r="K84" s="4">
        <v>0</v>
      </c>
      <c r="L84" s="4">
        <v>0</v>
      </c>
      <c r="M84" s="5">
        <v>6.7302299495232754E-2</v>
      </c>
      <c r="N84" s="5">
        <v>8.666666666666667E-2</v>
      </c>
      <c r="O84" s="5">
        <v>0</v>
      </c>
      <c r="P84">
        <v>-2</v>
      </c>
      <c r="Q84" s="1">
        <v>-1</v>
      </c>
      <c r="R84">
        <v>-1104500</v>
      </c>
      <c r="S84" s="1">
        <v>-1</v>
      </c>
    </row>
    <row r="85" spans="1:19" x14ac:dyDescent="0.45">
      <c r="A85" t="s">
        <v>17</v>
      </c>
      <c r="B85" t="s">
        <v>19</v>
      </c>
      <c r="C85" t="s">
        <v>159</v>
      </c>
      <c r="D85" s="2">
        <v>0</v>
      </c>
      <c r="E85" s="2">
        <v>0</v>
      </c>
      <c r="F85" s="2">
        <v>0</v>
      </c>
      <c r="G85" s="3">
        <v>3.9728928420160951E-2</v>
      </c>
      <c r="H85" s="3">
        <v>0.13646055437100213</v>
      </c>
      <c r="I85" s="3">
        <v>0</v>
      </c>
      <c r="J85" s="4">
        <v>1</v>
      </c>
      <c r="K85" s="4">
        <v>1</v>
      </c>
      <c r="L85" s="4">
        <v>525020</v>
      </c>
      <c r="M85" s="5">
        <v>6.7302299495232754E-2</v>
      </c>
      <c r="N85" s="5">
        <v>8.666666666666667E-2</v>
      </c>
      <c r="O85" s="5">
        <v>1.9230769230769232E-2</v>
      </c>
      <c r="P85">
        <v>1</v>
      </c>
      <c r="Q85" s="1">
        <v>1</v>
      </c>
      <c r="R85">
        <v>525020</v>
      </c>
      <c r="S85" s="1">
        <v>1</v>
      </c>
    </row>
    <row r="86" spans="1:19" x14ac:dyDescent="0.45">
      <c r="A86" t="s">
        <v>17</v>
      </c>
      <c r="B86" t="s">
        <v>20</v>
      </c>
      <c r="C86" t="s">
        <v>160</v>
      </c>
      <c r="D86" s="2">
        <v>0</v>
      </c>
      <c r="E86" s="2">
        <v>0</v>
      </c>
      <c r="F86" s="2">
        <v>24410</v>
      </c>
      <c r="G86" s="3">
        <v>3.9728928420160951E-2</v>
      </c>
      <c r="H86" s="3">
        <v>1.7057569296375266E-2</v>
      </c>
      <c r="I86" s="3">
        <v>0</v>
      </c>
      <c r="J86" s="4">
        <v>2</v>
      </c>
      <c r="K86" s="4">
        <v>2</v>
      </c>
      <c r="L86" s="4">
        <v>2326320</v>
      </c>
      <c r="M86" s="5">
        <v>6.7302299495232754E-2</v>
      </c>
      <c r="N86" s="5">
        <v>0.02</v>
      </c>
      <c r="O86" s="5">
        <v>0.16666666666666666</v>
      </c>
      <c r="P86">
        <v>2</v>
      </c>
      <c r="Q86" s="1">
        <v>1</v>
      </c>
      <c r="R86">
        <v>2301910</v>
      </c>
      <c r="S86" s="1">
        <v>94.301925440393276</v>
      </c>
    </row>
    <row r="87" spans="1:19" x14ac:dyDescent="0.45">
      <c r="A87" t="s">
        <v>17</v>
      </c>
      <c r="B87" t="s">
        <v>20</v>
      </c>
      <c r="C87" t="s">
        <v>161</v>
      </c>
      <c r="D87" s="2">
        <v>1</v>
      </c>
      <c r="E87" s="2">
        <v>1</v>
      </c>
      <c r="F87" s="2">
        <v>1159180</v>
      </c>
      <c r="G87" s="3">
        <v>3.9728928420160951E-2</v>
      </c>
      <c r="H87" s="3">
        <v>1.7057569296375266E-2</v>
      </c>
      <c r="I87" s="3">
        <v>0.125</v>
      </c>
      <c r="J87" s="4">
        <v>0</v>
      </c>
      <c r="K87" s="4">
        <v>0</v>
      </c>
      <c r="L87" s="4">
        <v>-32040</v>
      </c>
      <c r="M87" s="5">
        <v>6.7302299495232754E-2</v>
      </c>
      <c r="N87" s="5">
        <v>0.02</v>
      </c>
      <c r="O87" s="5">
        <v>0</v>
      </c>
      <c r="P87">
        <v>-1</v>
      </c>
      <c r="Q87" s="1">
        <v>-1</v>
      </c>
      <c r="R87">
        <v>-1191220</v>
      </c>
      <c r="S87" s="1">
        <v>-1.0276402284373436</v>
      </c>
    </row>
    <row r="88" spans="1:19" x14ac:dyDescent="0.45">
      <c r="A88" t="s">
        <v>17</v>
      </c>
      <c r="B88" t="s">
        <v>20</v>
      </c>
      <c r="C88" t="s">
        <v>162</v>
      </c>
      <c r="D88" s="2">
        <v>7</v>
      </c>
      <c r="E88" s="2">
        <v>7</v>
      </c>
      <c r="F88" s="2">
        <v>7973000</v>
      </c>
      <c r="G88" s="3">
        <v>3.9728928420160951E-2</v>
      </c>
      <c r="H88" s="3">
        <v>1.7057569296375266E-2</v>
      </c>
      <c r="I88" s="3">
        <v>0.875</v>
      </c>
      <c r="J88" s="4">
        <v>10</v>
      </c>
      <c r="K88" s="4">
        <v>10</v>
      </c>
      <c r="L88" s="4">
        <v>11505540</v>
      </c>
      <c r="M88" s="5">
        <v>6.7302299495232754E-2</v>
      </c>
      <c r="N88" s="5">
        <v>0.02</v>
      </c>
      <c r="O88" s="5">
        <v>0.83333333333333337</v>
      </c>
      <c r="P88">
        <v>3</v>
      </c>
      <c r="Q88" s="1">
        <v>0.42857142857142855</v>
      </c>
      <c r="R88">
        <v>3532540</v>
      </c>
      <c r="S88" s="1">
        <v>0.44306283707512856</v>
      </c>
    </row>
    <row r="89" spans="1:19" x14ac:dyDescent="0.45">
      <c r="A89" t="s">
        <v>17</v>
      </c>
      <c r="B89" t="s">
        <v>21</v>
      </c>
      <c r="C89" t="s">
        <v>163</v>
      </c>
      <c r="D89" s="2">
        <v>3</v>
      </c>
      <c r="E89" s="2">
        <v>3</v>
      </c>
      <c r="F89" s="2">
        <v>1926050</v>
      </c>
      <c r="G89" s="3">
        <v>3.9728928420160951E-2</v>
      </c>
      <c r="H89" s="3">
        <v>0.42857142857142855</v>
      </c>
      <c r="I89" s="3">
        <v>1.4925373134328358E-2</v>
      </c>
      <c r="J89" s="4">
        <v>4</v>
      </c>
      <c r="K89" s="4">
        <v>4</v>
      </c>
      <c r="L89" s="4">
        <v>2617160</v>
      </c>
      <c r="M89" s="5">
        <v>6.7302299495232754E-2</v>
      </c>
      <c r="N89" s="5">
        <v>0.54833333333333334</v>
      </c>
      <c r="O89" s="5">
        <v>1.2158054711246201E-2</v>
      </c>
      <c r="P89">
        <v>1</v>
      </c>
      <c r="Q89" s="1">
        <v>0.33333333333333331</v>
      </c>
      <c r="R89">
        <v>691110</v>
      </c>
      <c r="S89" s="1">
        <v>0.35882246047610394</v>
      </c>
    </row>
    <row r="90" spans="1:19" x14ac:dyDescent="0.45">
      <c r="A90" t="s">
        <v>17</v>
      </c>
      <c r="B90" t="s">
        <v>21</v>
      </c>
      <c r="C90" t="s">
        <v>164</v>
      </c>
      <c r="D90" s="2">
        <v>0</v>
      </c>
      <c r="E90" s="2">
        <v>0</v>
      </c>
      <c r="F90" s="2">
        <v>0</v>
      </c>
      <c r="G90" s="3">
        <v>3.9728928420160951E-2</v>
      </c>
      <c r="H90" s="3">
        <v>0.42857142857142855</v>
      </c>
      <c r="I90" s="3">
        <v>0</v>
      </c>
      <c r="J90" s="4">
        <v>8</v>
      </c>
      <c r="K90" s="4">
        <v>8</v>
      </c>
      <c r="L90" s="4">
        <v>5115780</v>
      </c>
      <c r="M90" s="5">
        <v>6.7302299495232754E-2</v>
      </c>
      <c r="N90" s="5">
        <v>0.54833333333333334</v>
      </c>
      <c r="O90" s="5">
        <v>2.4316109422492401E-2</v>
      </c>
      <c r="P90">
        <v>8</v>
      </c>
      <c r="Q90" s="1">
        <v>1</v>
      </c>
      <c r="R90">
        <v>5115780</v>
      </c>
      <c r="S90" s="1">
        <v>1</v>
      </c>
    </row>
    <row r="91" spans="1:19" x14ac:dyDescent="0.45">
      <c r="A91" t="s">
        <v>17</v>
      </c>
      <c r="B91" t="s">
        <v>21</v>
      </c>
      <c r="C91" t="s">
        <v>165</v>
      </c>
      <c r="D91" s="2">
        <v>1</v>
      </c>
      <c r="E91" s="2">
        <v>1</v>
      </c>
      <c r="F91" s="2">
        <v>643570</v>
      </c>
      <c r="G91" s="3">
        <v>3.9728928420160951E-2</v>
      </c>
      <c r="H91" s="3">
        <v>0.42857142857142855</v>
      </c>
      <c r="I91" s="3">
        <v>4.9751243781094526E-3</v>
      </c>
      <c r="J91" s="4">
        <v>3</v>
      </c>
      <c r="K91" s="4">
        <v>4</v>
      </c>
      <c r="L91" s="4">
        <v>2621970</v>
      </c>
      <c r="M91" s="5">
        <v>6.7302299495232754E-2</v>
      </c>
      <c r="N91" s="5">
        <v>0.54833333333333334</v>
      </c>
      <c r="O91" s="5">
        <v>1.2158054711246201E-2</v>
      </c>
      <c r="P91">
        <v>3</v>
      </c>
      <c r="Q91" s="1">
        <v>3</v>
      </c>
      <c r="R91">
        <v>1978400</v>
      </c>
      <c r="S91" s="1">
        <v>3.0741022732569885</v>
      </c>
    </row>
    <row r="92" spans="1:19" x14ac:dyDescent="0.45">
      <c r="A92" t="s">
        <v>17</v>
      </c>
      <c r="B92" t="s">
        <v>21</v>
      </c>
      <c r="C92" t="s">
        <v>166</v>
      </c>
      <c r="D92" s="2">
        <v>18</v>
      </c>
      <c r="E92" s="2">
        <v>19</v>
      </c>
      <c r="F92" s="2">
        <v>12238940</v>
      </c>
      <c r="G92" s="3">
        <v>3.9728928420160951E-2</v>
      </c>
      <c r="H92" s="3">
        <v>0.42857142857142855</v>
      </c>
      <c r="I92" s="3">
        <v>9.4527363184079602E-2</v>
      </c>
      <c r="J92" s="4">
        <v>13</v>
      </c>
      <c r="K92" s="4">
        <v>13</v>
      </c>
      <c r="L92" s="4">
        <v>8425080</v>
      </c>
      <c r="M92" s="5">
        <v>6.7302299495232754E-2</v>
      </c>
      <c r="N92" s="5">
        <v>0.54833333333333334</v>
      </c>
      <c r="O92" s="5">
        <v>3.9513677811550151E-2</v>
      </c>
      <c r="P92">
        <v>-6</v>
      </c>
      <c r="Q92" s="1">
        <v>-0.31578947368421051</v>
      </c>
      <c r="R92">
        <v>-3813860</v>
      </c>
      <c r="S92" s="1">
        <v>-0.31161685570809239</v>
      </c>
    </row>
    <row r="93" spans="1:19" x14ac:dyDescent="0.45">
      <c r="A93" t="s">
        <v>17</v>
      </c>
      <c r="B93" t="s">
        <v>21</v>
      </c>
      <c r="C93" t="s">
        <v>167</v>
      </c>
      <c r="D93" s="2">
        <v>1</v>
      </c>
      <c r="E93" s="2">
        <v>1</v>
      </c>
      <c r="F93" s="2">
        <v>671800</v>
      </c>
      <c r="G93" s="3">
        <v>3.9728928420160951E-2</v>
      </c>
      <c r="H93" s="3">
        <v>0.42857142857142855</v>
      </c>
      <c r="I93" s="3">
        <v>4.9751243781094526E-3</v>
      </c>
      <c r="J93" s="4">
        <v>4</v>
      </c>
      <c r="K93" s="4">
        <v>4</v>
      </c>
      <c r="L93" s="4">
        <v>2769800</v>
      </c>
      <c r="M93" s="5">
        <v>6.7302299495232754E-2</v>
      </c>
      <c r="N93" s="5">
        <v>0.54833333333333334</v>
      </c>
      <c r="O93" s="5">
        <v>1.2158054711246201E-2</v>
      </c>
      <c r="P93">
        <v>3</v>
      </c>
      <c r="Q93" s="1">
        <v>3</v>
      </c>
      <c r="R93">
        <v>2098000</v>
      </c>
      <c r="S93" s="1">
        <v>3.1229532598987793</v>
      </c>
    </row>
    <row r="94" spans="1:19" x14ac:dyDescent="0.45">
      <c r="A94" t="s">
        <v>17</v>
      </c>
      <c r="B94" t="s">
        <v>21</v>
      </c>
      <c r="C94" t="s">
        <v>168</v>
      </c>
      <c r="D94" s="2">
        <v>2</v>
      </c>
      <c r="E94" s="2">
        <v>2</v>
      </c>
      <c r="F94" s="2">
        <v>1343600</v>
      </c>
      <c r="G94" s="3">
        <v>3.9728928420160951E-2</v>
      </c>
      <c r="H94" s="3">
        <v>0.42857142857142855</v>
      </c>
      <c r="I94" s="3">
        <v>9.9502487562189053E-3</v>
      </c>
      <c r="J94" s="4">
        <v>0</v>
      </c>
      <c r="K94" s="4">
        <v>0</v>
      </c>
      <c r="L94" s="4">
        <v>0</v>
      </c>
      <c r="M94" s="5">
        <v>6.7302299495232754E-2</v>
      </c>
      <c r="N94" s="5">
        <v>0.54833333333333334</v>
      </c>
      <c r="O94" s="5">
        <v>0</v>
      </c>
      <c r="P94">
        <v>-2</v>
      </c>
      <c r="Q94" s="1">
        <v>-1</v>
      </c>
      <c r="R94">
        <v>-1343600</v>
      </c>
      <c r="S94" s="1">
        <v>-1</v>
      </c>
    </row>
    <row r="95" spans="1:19" x14ac:dyDescent="0.45">
      <c r="A95" t="s">
        <v>17</v>
      </c>
      <c r="B95" t="s">
        <v>21</v>
      </c>
      <c r="C95" t="s">
        <v>169</v>
      </c>
      <c r="D95" s="2">
        <v>2</v>
      </c>
      <c r="E95" s="2">
        <v>2</v>
      </c>
      <c r="F95" s="2">
        <v>1303310</v>
      </c>
      <c r="G95" s="3">
        <v>3.9728928420160951E-2</v>
      </c>
      <c r="H95" s="3">
        <v>0.42857142857142855</v>
      </c>
      <c r="I95" s="3">
        <v>9.9502487562189053E-3</v>
      </c>
      <c r="J95" s="4">
        <v>2</v>
      </c>
      <c r="K95" s="4">
        <v>2</v>
      </c>
      <c r="L95" s="4">
        <v>1309290</v>
      </c>
      <c r="M95" s="5">
        <v>6.7302299495232754E-2</v>
      </c>
      <c r="N95" s="5">
        <v>0.54833333333333334</v>
      </c>
      <c r="O95" s="5">
        <v>6.0790273556231003E-3</v>
      </c>
      <c r="P95">
        <v>0</v>
      </c>
      <c r="Q95" s="1">
        <v>0</v>
      </c>
      <c r="R95">
        <v>5980</v>
      </c>
      <c r="S95" s="1">
        <v>4.5883174379080958E-3</v>
      </c>
    </row>
    <row r="96" spans="1:19" x14ac:dyDescent="0.45">
      <c r="A96" t="s">
        <v>17</v>
      </c>
      <c r="B96" t="s">
        <v>21</v>
      </c>
      <c r="C96" t="s">
        <v>170</v>
      </c>
      <c r="D96" s="2">
        <v>14</v>
      </c>
      <c r="E96" s="2">
        <v>14</v>
      </c>
      <c r="F96" s="2">
        <v>9334880</v>
      </c>
      <c r="G96" s="3">
        <v>3.9728928420160951E-2</v>
      </c>
      <c r="H96" s="3">
        <v>0.42857142857142855</v>
      </c>
      <c r="I96" s="3">
        <v>6.965174129353234E-2</v>
      </c>
      <c r="J96" s="4">
        <v>8</v>
      </c>
      <c r="K96" s="4">
        <v>8</v>
      </c>
      <c r="L96" s="4">
        <v>5243000</v>
      </c>
      <c r="M96" s="5">
        <v>6.7302299495232754E-2</v>
      </c>
      <c r="N96" s="5">
        <v>0.54833333333333334</v>
      </c>
      <c r="O96" s="5">
        <v>2.4316109422492401E-2</v>
      </c>
      <c r="P96">
        <v>-6</v>
      </c>
      <c r="Q96" s="1">
        <v>-0.42857142857142855</v>
      </c>
      <c r="R96">
        <v>-4091880</v>
      </c>
      <c r="S96" s="1">
        <v>-0.43834307457621308</v>
      </c>
    </row>
    <row r="97" spans="1:19" x14ac:dyDescent="0.45">
      <c r="A97" t="s">
        <v>17</v>
      </c>
      <c r="B97" t="s">
        <v>21</v>
      </c>
      <c r="C97" t="s">
        <v>171</v>
      </c>
      <c r="D97" s="2">
        <v>2</v>
      </c>
      <c r="E97" s="2">
        <v>2</v>
      </c>
      <c r="F97" s="2">
        <v>1382230</v>
      </c>
      <c r="G97" s="3">
        <v>3.9728928420160951E-2</v>
      </c>
      <c r="H97" s="3">
        <v>0.42857142857142855</v>
      </c>
      <c r="I97" s="3">
        <v>9.9502487562189053E-3</v>
      </c>
      <c r="J97" s="4">
        <v>0</v>
      </c>
      <c r="K97" s="4">
        <v>0</v>
      </c>
      <c r="L97" s="4">
        <v>0</v>
      </c>
      <c r="M97" s="5">
        <v>6.7302299495232754E-2</v>
      </c>
      <c r="N97" s="5">
        <v>0.54833333333333334</v>
      </c>
      <c r="O97" s="5">
        <v>0</v>
      </c>
      <c r="P97">
        <v>-2</v>
      </c>
      <c r="Q97" s="1">
        <v>-1</v>
      </c>
      <c r="R97">
        <v>-1382230</v>
      </c>
      <c r="S97" s="1">
        <v>-1</v>
      </c>
    </row>
    <row r="98" spans="1:19" x14ac:dyDescent="0.45">
      <c r="A98" t="s">
        <v>17</v>
      </c>
      <c r="B98" t="s">
        <v>21</v>
      </c>
      <c r="C98" t="s">
        <v>172</v>
      </c>
      <c r="D98" s="2">
        <v>3</v>
      </c>
      <c r="E98" s="2">
        <v>3</v>
      </c>
      <c r="F98" s="2">
        <v>2065510</v>
      </c>
      <c r="G98" s="3">
        <v>3.9728928420160951E-2</v>
      </c>
      <c r="H98" s="3">
        <v>0.42857142857142855</v>
      </c>
      <c r="I98" s="3">
        <v>1.4925373134328358E-2</v>
      </c>
      <c r="J98" s="4">
        <v>0</v>
      </c>
      <c r="K98" s="4">
        <v>0</v>
      </c>
      <c r="L98" s="4">
        <v>0</v>
      </c>
      <c r="M98" s="5">
        <v>6.7302299495232754E-2</v>
      </c>
      <c r="N98" s="5">
        <v>0.54833333333333334</v>
      </c>
      <c r="O98" s="5">
        <v>0</v>
      </c>
      <c r="P98">
        <v>-3</v>
      </c>
      <c r="Q98" s="1">
        <v>-1</v>
      </c>
      <c r="R98">
        <v>-2065510</v>
      </c>
      <c r="S98" s="1">
        <v>-1</v>
      </c>
    </row>
    <row r="99" spans="1:19" x14ac:dyDescent="0.45">
      <c r="A99" t="s">
        <v>17</v>
      </c>
      <c r="B99" t="s">
        <v>21</v>
      </c>
      <c r="C99" t="s">
        <v>173</v>
      </c>
      <c r="D99" s="2">
        <v>4</v>
      </c>
      <c r="E99" s="2">
        <v>4</v>
      </c>
      <c r="F99" s="2">
        <v>2734340</v>
      </c>
      <c r="G99" s="3">
        <v>3.9728928420160951E-2</v>
      </c>
      <c r="H99" s="3">
        <v>0.42857142857142855</v>
      </c>
      <c r="I99" s="3">
        <v>1.9900497512437811E-2</v>
      </c>
      <c r="J99" s="4">
        <v>1</v>
      </c>
      <c r="K99" s="4">
        <v>1</v>
      </c>
      <c r="L99" s="4">
        <v>685910</v>
      </c>
      <c r="M99" s="5">
        <v>6.7302299495232754E-2</v>
      </c>
      <c r="N99" s="5">
        <v>0.54833333333333334</v>
      </c>
      <c r="O99" s="5">
        <v>3.0395136778115501E-3</v>
      </c>
      <c r="P99">
        <v>-3</v>
      </c>
      <c r="Q99" s="1">
        <v>-0.75</v>
      </c>
      <c r="R99">
        <v>-2048430</v>
      </c>
      <c r="S99" s="1">
        <v>-0.74914970340191778</v>
      </c>
    </row>
    <row r="100" spans="1:19" x14ac:dyDescent="0.45">
      <c r="A100" t="s">
        <v>17</v>
      </c>
      <c r="B100" t="s">
        <v>21</v>
      </c>
      <c r="C100" t="s">
        <v>174</v>
      </c>
      <c r="D100" s="2">
        <v>1</v>
      </c>
      <c r="E100" s="2">
        <v>1</v>
      </c>
      <c r="F100" s="2">
        <v>704730</v>
      </c>
      <c r="G100" s="3">
        <v>3.9728928420160951E-2</v>
      </c>
      <c r="H100" s="3">
        <v>0.42857142857142855</v>
      </c>
      <c r="I100" s="3">
        <v>4.9751243781094526E-3</v>
      </c>
      <c r="J100" s="4">
        <v>1</v>
      </c>
      <c r="K100" s="4">
        <v>1</v>
      </c>
      <c r="L100" s="4">
        <v>777230</v>
      </c>
      <c r="M100" s="5">
        <v>6.7302299495232754E-2</v>
      </c>
      <c r="N100" s="5">
        <v>0.54833333333333334</v>
      </c>
      <c r="O100" s="5">
        <v>3.0395136778115501E-3</v>
      </c>
      <c r="P100">
        <v>0</v>
      </c>
      <c r="Q100" s="1">
        <v>0</v>
      </c>
      <c r="R100">
        <v>72500</v>
      </c>
      <c r="S100" s="1">
        <v>0.10287627885856995</v>
      </c>
    </row>
    <row r="101" spans="1:19" x14ac:dyDescent="0.45">
      <c r="A101" t="s">
        <v>17</v>
      </c>
      <c r="B101" t="s">
        <v>21</v>
      </c>
      <c r="C101" t="s">
        <v>175</v>
      </c>
      <c r="D101" s="2">
        <v>2</v>
      </c>
      <c r="E101" s="2">
        <v>2</v>
      </c>
      <c r="F101" s="2">
        <v>1169970</v>
      </c>
      <c r="G101" s="3">
        <v>3.9728928420160951E-2</v>
      </c>
      <c r="H101" s="3">
        <v>0.42857142857142855</v>
      </c>
      <c r="I101" s="3">
        <v>9.9502487562189053E-3</v>
      </c>
      <c r="J101" s="4">
        <v>13</v>
      </c>
      <c r="K101" s="4">
        <v>14</v>
      </c>
      <c r="L101" s="4">
        <v>9185820</v>
      </c>
      <c r="M101" s="5">
        <v>6.7302299495232754E-2</v>
      </c>
      <c r="N101" s="5">
        <v>0.54833333333333334</v>
      </c>
      <c r="O101" s="5">
        <v>4.2553191489361701E-2</v>
      </c>
      <c r="P101">
        <v>12</v>
      </c>
      <c r="Q101" s="1">
        <v>6</v>
      </c>
      <c r="R101">
        <v>8015850</v>
      </c>
      <c r="S101" s="1">
        <v>6.8513295212697765</v>
      </c>
    </row>
    <row r="102" spans="1:19" x14ac:dyDescent="0.45">
      <c r="A102" t="s">
        <v>17</v>
      </c>
      <c r="B102" t="s">
        <v>21</v>
      </c>
      <c r="C102" t="s">
        <v>176</v>
      </c>
      <c r="D102" s="2">
        <v>4</v>
      </c>
      <c r="E102" s="2">
        <v>4</v>
      </c>
      <c r="F102" s="2">
        <v>2635000</v>
      </c>
      <c r="G102" s="3">
        <v>3.9728928420160951E-2</v>
      </c>
      <c r="H102" s="3">
        <v>0.42857142857142855</v>
      </c>
      <c r="I102" s="3">
        <v>1.9900497512437811E-2</v>
      </c>
      <c r="J102" s="4">
        <v>7</v>
      </c>
      <c r="K102" s="4">
        <v>7</v>
      </c>
      <c r="L102" s="4">
        <v>4613200</v>
      </c>
      <c r="M102" s="5">
        <v>6.7302299495232754E-2</v>
      </c>
      <c r="N102" s="5">
        <v>0.54833333333333334</v>
      </c>
      <c r="O102" s="5">
        <v>2.1276595744680851E-2</v>
      </c>
      <c r="P102">
        <v>3</v>
      </c>
      <c r="Q102" s="1">
        <v>0.75</v>
      </c>
      <c r="R102">
        <v>1978200</v>
      </c>
      <c r="S102" s="1">
        <v>0.75074003795066413</v>
      </c>
    </row>
    <row r="103" spans="1:19" x14ac:dyDescent="0.45">
      <c r="A103" t="s">
        <v>17</v>
      </c>
      <c r="B103" t="s">
        <v>21</v>
      </c>
      <c r="C103" t="s">
        <v>177</v>
      </c>
      <c r="D103" s="2">
        <v>3</v>
      </c>
      <c r="E103" s="2">
        <v>3</v>
      </c>
      <c r="F103" s="2">
        <v>1958940</v>
      </c>
      <c r="G103" s="3">
        <v>3.9728928420160951E-2</v>
      </c>
      <c r="H103" s="3">
        <v>0.42857142857142855</v>
      </c>
      <c r="I103" s="3">
        <v>1.4925373134328358E-2</v>
      </c>
      <c r="J103" s="4">
        <v>6</v>
      </c>
      <c r="K103" s="4">
        <v>6</v>
      </c>
      <c r="L103" s="4">
        <v>3959860</v>
      </c>
      <c r="M103" s="5">
        <v>6.7302299495232754E-2</v>
      </c>
      <c r="N103" s="5">
        <v>0.54833333333333334</v>
      </c>
      <c r="O103" s="5">
        <v>1.82370820668693E-2</v>
      </c>
      <c r="P103">
        <v>3</v>
      </c>
      <c r="Q103" s="1">
        <v>1</v>
      </c>
      <c r="R103">
        <v>2000920</v>
      </c>
      <c r="S103" s="1">
        <v>1.0214299570175707</v>
      </c>
    </row>
    <row r="104" spans="1:19" x14ac:dyDescent="0.45">
      <c r="A104" t="s">
        <v>17</v>
      </c>
      <c r="B104" t="s">
        <v>21</v>
      </c>
      <c r="C104" t="s">
        <v>178</v>
      </c>
      <c r="D104" s="2">
        <v>10</v>
      </c>
      <c r="E104" s="2">
        <v>10</v>
      </c>
      <c r="F104" s="2">
        <v>6347950</v>
      </c>
      <c r="G104" s="3">
        <v>3.9728928420160951E-2</v>
      </c>
      <c r="H104" s="3">
        <v>0.42857142857142855</v>
      </c>
      <c r="I104" s="3">
        <v>4.975124378109453E-2</v>
      </c>
      <c r="J104" s="4">
        <v>18</v>
      </c>
      <c r="K104" s="4">
        <v>19</v>
      </c>
      <c r="L104" s="4">
        <v>12277100</v>
      </c>
      <c r="M104" s="5">
        <v>6.7302299495232754E-2</v>
      </c>
      <c r="N104" s="5">
        <v>0.54833333333333334</v>
      </c>
      <c r="O104" s="5">
        <v>5.7750759878419454E-2</v>
      </c>
      <c r="P104">
        <v>9</v>
      </c>
      <c r="Q104" s="1">
        <v>0.9</v>
      </c>
      <c r="R104">
        <v>5929150</v>
      </c>
      <c r="S104" s="1">
        <v>0.9340259453839429</v>
      </c>
    </row>
    <row r="105" spans="1:19" x14ac:dyDescent="0.45">
      <c r="A105" t="s">
        <v>17</v>
      </c>
      <c r="B105" t="s">
        <v>21</v>
      </c>
      <c r="C105" t="s">
        <v>179</v>
      </c>
      <c r="D105" s="2">
        <v>6</v>
      </c>
      <c r="E105" s="2">
        <v>6</v>
      </c>
      <c r="F105" s="2">
        <v>4130440</v>
      </c>
      <c r="G105" s="3">
        <v>3.9728928420160951E-2</v>
      </c>
      <c r="H105" s="3">
        <v>0.42857142857142855</v>
      </c>
      <c r="I105" s="3">
        <v>2.9850746268656716E-2</v>
      </c>
      <c r="J105" s="4">
        <v>13</v>
      </c>
      <c r="K105" s="4">
        <v>13</v>
      </c>
      <c r="L105" s="4">
        <v>8883220</v>
      </c>
      <c r="M105" s="5">
        <v>6.7302299495232754E-2</v>
      </c>
      <c r="N105" s="5">
        <v>0.54833333333333334</v>
      </c>
      <c r="O105" s="5">
        <v>3.9513677811550151E-2</v>
      </c>
      <c r="P105">
        <v>7</v>
      </c>
      <c r="Q105" s="1">
        <v>1.1666666666666667</v>
      </c>
      <c r="R105">
        <v>4752780</v>
      </c>
      <c r="S105" s="1">
        <v>1.1506715991516643</v>
      </c>
    </row>
    <row r="106" spans="1:19" x14ac:dyDescent="0.45">
      <c r="A106" t="s">
        <v>17</v>
      </c>
      <c r="B106" t="s">
        <v>21</v>
      </c>
      <c r="C106" t="s">
        <v>180</v>
      </c>
      <c r="D106" s="2">
        <v>5</v>
      </c>
      <c r="E106" s="2">
        <v>5</v>
      </c>
      <c r="F106" s="2">
        <v>3337490</v>
      </c>
      <c r="G106" s="3">
        <v>3.9728928420160951E-2</v>
      </c>
      <c r="H106" s="3">
        <v>0.42857142857142855</v>
      </c>
      <c r="I106" s="3">
        <v>2.4875621890547265E-2</v>
      </c>
      <c r="J106" s="4">
        <v>13</v>
      </c>
      <c r="K106" s="4">
        <v>13</v>
      </c>
      <c r="L106" s="4">
        <v>8782960</v>
      </c>
      <c r="M106" s="5">
        <v>6.7302299495232754E-2</v>
      </c>
      <c r="N106" s="5">
        <v>0.54833333333333334</v>
      </c>
      <c r="O106" s="5">
        <v>3.9513677811550151E-2</v>
      </c>
      <c r="P106">
        <v>8</v>
      </c>
      <c r="Q106" s="1">
        <v>1.6</v>
      </c>
      <c r="R106">
        <v>5445470</v>
      </c>
      <c r="S106" s="1">
        <v>1.6316063868356161</v>
      </c>
    </row>
    <row r="107" spans="1:19" x14ac:dyDescent="0.45">
      <c r="A107" t="s">
        <v>17</v>
      </c>
      <c r="B107" t="s">
        <v>21</v>
      </c>
      <c r="C107" t="s">
        <v>181</v>
      </c>
      <c r="D107" s="2">
        <v>8</v>
      </c>
      <c r="E107" s="2">
        <v>8</v>
      </c>
      <c r="F107" s="2">
        <v>5317710</v>
      </c>
      <c r="G107" s="3">
        <v>3.9728928420160951E-2</v>
      </c>
      <c r="H107" s="3">
        <v>0.42857142857142855</v>
      </c>
      <c r="I107" s="3">
        <v>3.9800995024875621E-2</v>
      </c>
      <c r="J107" s="4">
        <v>19</v>
      </c>
      <c r="K107" s="4">
        <v>19</v>
      </c>
      <c r="L107" s="4">
        <v>13024520</v>
      </c>
      <c r="M107" s="5">
        <v>6.7302299495232754E-2</v>
      </c>
      <c r="N107" s="5">
        <v>0.54833333333333334</v>
      </c>
      <c r="O107" s="5">
        <v>5.7750759878419454E-2</v>
      </c>
      <c r="P107">
        <v>11</v>
      </c>
      <c r="Q107" s="1">
        <v>1.375</v>
      </c>
      <c r="R107">
        <v>7706810</v>
      </c>
      <c r="S107" s="1">
        <v>1.4492723371526466</v>
      </c>
    </row>
    <row r="108" spans="1:19" x14ac:dyDescent="0.45">
      <c r="A108" t="s">
        <v>17</v>
      </c>
      <c r="B108" t="s">
        <v>21</v>
      </c>
      <c r="C108" t="s">
        <v>182</v>
      </c>
      <c r="D108" s="2">
        <v>27</v>
      </c>
      <c r="E108" s="2">
        <v>27</v>
      </c>
      <c r="F108" s="2">
        <v>17982450</v>
      </c>
      <c r="G108" s="3">
        <v>3.9728928420160951E-2</v>
      </c>
      <c r="H108" s="3">
        <v>0.42857142857142855</v>
      </c>
      <c r="I108" s="3">
        <v>0.13432835820895522</v>
      </c>
      <c r="J108" s="4">
        <v>65</v>
      </c>
      <c r="K108" s="4">
        <v>68</v>
      </c>
      <c r="L108" s="4">
        <v>45856200</v>
      </c>
      <c r="M108" s="5">
        <v>6.7302299495232754E-2</v>
      </c>
      <c r="N108" s="5">
        <v>0.54833333333333334</v>
      </c>
      <c r="O108" s="5">
        <v>0.20668693009118541</v>
      </c>
      <c r="P108">
        <v>41</v>
      </c>
      <c r="Q108" s="1">
        <v>1.5185185185185186</v>
      </c>
      <c r="R108">
        <v>27873750</v>
      </c>
      <c r="S108" s="1">
        <v>1.5500529683107698</v>
      </c>
    </row>
    <row r="109" spans="1:19" x14ac:dyDescent="0.45">
      <c r="A109" t="s">
        <v>17</v>
      </c>
      <c r="B109" t="s">
        <v>21</v>
      </c>
      <c r="C109" t="s">
        <v>183</v>
      </c>
      <c r="D109" s="2">
        <v>13</v>
      </c>
      <c r="E109" s="2">
        <v>13</v>
      </c>
      <c r="F109" s="2">
        <v>9276360</v>
      </c>
      <c r="G109" s="3">
        <v>3.9728928420160951E-2</v>
      </c>
      <c r="H109" s="3">
        <v>0.42857142857142855</v>
      </c>
      <c r="I109" s="3">
        <v>6.4676616915422883E-2</v>
      </c>
      <c r="J109" s="4">
        <v>12</v>
      </c>
      <c r="K109" s="4">
        <v>12</v>
      </c>
      <c r="L109" s="4">
        <v>8360850</v>
      </c>
      <c r="M109" s="5">
        <v>6.7302299495232754E-2</v>
      </c>
      <c r="N109" s="5">
        <v>0.54833333333333334</v>
      </c>
      <c r="O109" s="5">
        <v>3.64741641337386E-2</v>
      </c>
      <c r="P109">
        <v>-1</v>
      </c>
      <c r="Q109" s="1">
        <v>-7.6923076923076927E-2</v>
      </c>
      <c r="R109">
        <v>-915510</v>
      </c>
      <c r="S109" s="1">
        <v>-9.8692806230029878E-2</v>
      </c>
    </row>
    <row r="110" spans="1:19" x14ac:dyDescent="0.45">
      <c r="A110" t="s">
        <v>17</v>
      </c>
      <c r="B110" t="s">
        <v>21</v>
      </c>
      <c r="C110" t="s">
        <v>184</v>
      </c>
      <c r="D110" s="2">
        <v>12</v>
      </c>
      <c r="E110" s="2">
        <v>12</v>
      </c>
      <c r="F110" s="2">
        <v>8327820</v>
      </c>
      <c r="G110" s="3">
        <v>3.9728928420160951E-2</v>
      </c>
      <c r="H110" s="3">
        <v>0.42857142857142855</v>
      </c>
      <c r="I110" s="3">
        <v>5.9701492537313432E-2</v>
      </c>
      <c r="J110" s="4">
        <v>21</v>
      </c>
      <c r="K110" s="4">
        <v>24</v>
      </c>
      <c r="L110" s="4">
        <v>16749820</v>
      </c>
      <c r="M110" s="5">
        <v>6.7302299495232754E-2</v>
      </c>
      <c r="N110" s="5">
        <v>0.54833333333333334</v>
      </c>
      <c r="O110" s="5">
        <v>7.29483282674772E-2</v>
      </c>
      <c r="P110">
        <v>12</v>
      </c>
      <c r="Q110" s="1">
        <v>1</v>
      </c>
      <c r="R110">
        <v>8422000</v>
      </c>
      <c r="S110" s="1">
        <v>1.0113090820887098</v>
      </c>
    </row>
    <row r="111" spans="1:19" x14ac:dyDescent="0.45">
      <c r="A111" t="s">
        <v>17</v>
      </c>
      <c r="B111" t="s">
        <v>21</v>
      </c>
      <c r="C111" t="s">
        <v>185</v>
      </c>
      <c r="D111" s="2">
        <v>9</v>
      </c>
      <c r="E111" s="2">
        <v>9</v>
      </c>
      <c r="F111" s="2">
        <v>6268200</v>
      </c>
      <c r="G111" s="3">
        <v>3.9728928420160951E-2</v>
      </c>
      <c r="H111" s="3">
        <v>0.42857142857142855</v>
      </c>
      <c r="I111" s="3">
        <v>4.4776119402985072E-2</v>
      </c>
      <c r="J111" s="4">
        <v>16</v>
      </c>
      <c r="K111" s="4">
        <v>16</v>
      </c>
      <c r="L111" s="4">
        <v>11168970</v>
      </c>
      <c r="M111" s="5">
        <v>6.7302299495232754E-2</v>
      </c>
      <c r="N111" s="5">
        <v>0.54833333333333334</v>
      </c>
      <c r="O111" s="5">
        <v>4.8632218844984802E-2</v>
      </c>
      <c r="P111">
        <v>7</v>
      </c>
      <c r="Q111" s="1">
        <v>0.77777777777777779</v>
      </c>
      <c r="R111">
        <v>4900770</v>
      </c>
      <c r="S111" s="1">
        <v>0.78184646309945438</v>
      </c>
    </row>
    <row r="112" spans="1:19" x14ac:dyDescent="0.45">
      <c r="A112" t="s">
        <v>17</v>
      </c>
      <c r="B112" t="s">
        <v>21</v>
      </c>
      <c r="C112" t="s">
        <v>186</v>
      </c>
      <c r="D112" s="2">
        <v>32</v>
      </c>
      <c r="E112" s="2">
        <v>32</v>
      </c>
      <c r="F112" s="2">
        <v>22085610</v>
      </c>
      <c r="G112" s="3">
        <v>3.9728928420160951E-2</v>
      </c>
      <c r="H112" s="3">
        <v>0.42857142857142855</v>
      </c>
      <c r="I112" s="3">
        <v>0.15920398009950248</v>
      </c>
      <c r="J112" s="4">
        <v>58</v>
      </c>
      <c r="K112" s="4">
        <v>58</v>
      </c>
      <c r="L112" s="4">
        <v>39986840</v>
      </c>
      <c r="M112" s="5">
        <v>6.7302299495232754E-2</v>
      </c>
      <c r="N112" s="5">
        <v>0.54833333333333334</v>
      </c>
      <c r="O112" s="5">
        <v>0.17629179331306991</v>
      </c>
      <c r="P112">
        <v>26</v>
      </c>
      <c r="Q112" s="1">
        <v>0.8125</v>
      </c>
      <c r="R112">
        <v>17901230</v>
      </c>
      <c r="S112" s="1">
        <v>0.81053817395127414</v>
      </c>
    </row>
    <row r="113" spans="1:19" x14ac:dyDescent="0.45">
      <c r="A113" t="s">
        <v>17</v>
      </c>
      <c r="B113" t="s">
        <v>21</v>
      </c>
      <c r="C113" t="s">
        <v>187</v>
      </c>
      <c r="D113" s="2">
        <v>0</v>
      </c>
      <c r="E113" s="2">
        <v>0</v>
      </c>
      <c r="F113" s="2">
        <v>0</v>
      </c>
      <c r="G113" s="3">
        <v>3.9728928420160951E-2</v>
      </c>
      <c r="H113" s="3">
        <v>0.42857142857142855</v>
      </c>
      <c r="I113" s="3">
        <v>0</v>
      </c>
      <c r="J113" s="4">
        <v>1</v>
      </c>
      <c r="K113" s="4">
        <v>1</v>
      </c>
      <c r="L113" s="4">
        <v>695320</v>
      </c>
      <c r="M113" s="5">
        <v>6.7302299495232754E-2</v>
      </c>
      <c r="N113" s="5">
        <v>0.54833333333333334</v>
      </c>
      <c r="O113" s="5">
        <v>3.0395136778115501E-3</v>
      </c>
      <c r="P113">
        <v>1</v>
      </c>
      <c r="Q113" s="1">
        <v>1</v>
      </c>
      <c r="R113">
        <v>695320</v>
      </c>
      <c r="S113" s="1">
        <v>1</v>
      </c>
    </row>
    <row r="114" spans="1:19" x14ac:dyDescent="0.45">
      <c r="A114" t="s">
        <v>17</v>
      </c>
      <c r="B114" t="s">
        <v>21</v>
      </c>
      <c r="C114" t="s">
        <v>188</v>
      </c>
      <c r="D114" s="2">
        <v>1</v>
      </c>
      <c r="E114" s="2">
        <v>1</v>
      </c>
      <c r="F114" s="2">
        <v>685590</v>
      </c>
      <c r="G114" s="3">
        <v>3.9728928420160951E-2</v>
      </c>
      <c r="H114" s="3">
        <v>0.42857142857142855</v>
      </c>
      <c r="I114" s="3">
        <v>4.9751243781094526E-3</v>
      </c>
      <c r="J114" s="4">
        <v>0</v>
      </c>
      <c r="K114" s="4">
        <v>0</v>
      </c>
      <c r="L114" s="4">
        <v>0</v>
      </c>
      <c r="M114" s="5">
        <v>6.7302299495232754E-2</v>
      </c>
      <c r="N114" s="5">
        <v>0.54833333333333334</v>
      </c>
      <c r="O114" s="5">
        <v>0</v>
      </c>
      <c r="P114">
        <v>-1</v>
      </c>
      <c r="Q114" s="1">
        <v>-1</v>
      </c>
      <c r="R114">
        <v>-685590</v>
      </c>
      <c r="S114" s="1">
        <v>-1</v>
      </c>
    </row>
    <row r="115" spans="1:19" x14ac:dyDescent="0.45">
      <c r="A115" t="s">
        <v>17</v>
      </c>
      <c r="B115" t="s">
        <v>21</v>
      </c>
      <c r="C115" t="s">
        <v>189</v>
      </c>
      <c r="D115" s="2">
        <v>2</v>
      </c>
      <c r="E115" s="2">
        <v>2</v>
      </c>
      <c r="F115" s="2">
        <v>1400060</v>
      </c>
      <c r="G115" s="3">
        <v>3.9728928420160951E-2</v>
      </c>
      <c r="H115" s="3">
        <v>0.42857142857142855</v>
      </c>
      <c r="I115" s="3">
        <v>9.9502487562189053E-3</v>
      </c>
      <c r="J115" s="4">
        <v>0</v>
      </c>
      <c r="K115" s="4">
        <v>0</v>
      </c>
      <c r="L115" s="4">
        <v>0</v>
      </c>
      <c r="M115" s="5">
        <v>6.7302299495232754E-2</v>
      </c>
      <c r="N115" s="5">
        <v>0.54833333333333334</v>
      </c>
      <c r="O115" s="5">
        <v>0</v>
      </c>
      <c r="P115">
        <v>-2</v>
      </c>
      <c r="Q115" s="1">
        <v>-1</v>
      </c>
      <c r="R115">
        <v>-1400060</v>
      </c>
      <c r="S115" s="1">
        <v>-1</v>
      </c>
    </row>
    <row r="116" spans="1:19" x14ac:dyDescent="0.45">
      <c r="A116" t="s">
        <v>17</v>
      </c>
      <c r="B116" t="s">
        <v>21</v>
      </c>
      <c r="C116" t="s">
        <v>190</v>
      </c>
      <c r="D116" s="2">
        <v>1</v>
      </c>
      <c r="E116" s="2">
        <v>1</v>
      </c>
      <c r="F116" s="2">
        <v>789000</v>
      </c>
      <c r="G116" s="3">
        <v>3.9728928420160951E-2</v>
      </c>
      <c r="H116" s="3">
        <v>0.42857142857142855</v>
      </c>
      <c r="I116" s="3">
        <v>4.9751243781094526E-3</v>
      </c>
      <c r="J116" s="4">
        <v>0</v>
      </c>
      <c r="K116" s="4">
        <v>0</v>
      </c>
      <c r="L116" s="4">
        <v>0</v>
      </c>
      <c r="M116" s="5">
        <v>6.7302299495232754E-2</v>
      </c>
      <c r="N116" s="5">
        <v>0.54833333333333334</v>
      </c>
      <c r="O116" s="5">
        <v>0</v>
      </c>
      <c r="P116">
        <v>-1</v>
      </c>
      <c r="Q116" s="1">
        <v>-1</v>
      </c>
      <c r="R116">
        <v>-789000</v>
      </c>
      <c r="S116" s="1">
        <v>-1</v>
      </c>
    </row>
    <row r="117" spans="1:19" x14ac:dyDescent="0.45">
      <c r="A117" t="s">
        <v>17</v>
      </c>
      <c r="B117" t="s">
        <v>21</v>
      </c>
      <c r="C117" t="s">
        <v>191</v>
      </c>
      <c r="D117" s="2">
        <v>0</v>
      </c>
      <c r="E117" s="2">
        <v>0</v>
      </c>
      <c r="F117" s="2">
        <v>0</v>
      </c>
      <c r="G117" s="3">
        <v>3.9728928420160951E-2</v>
      </c>
      <c r="H117" s="3">
        <v>0.42857142857142855</v>
      </c>
      <c r="I117" s="3">
        <v>0</v>
      </c>
      <c r="J117" s="4">
        <v>1</v>
      </c>
      <c r="K117" s="4">
        <v>1</v>
      </c>
      <c r="L117" s="4">
        <v>742370</v>
      </c>
      <c r="M117" s="5">
        <v>6.7302299495232754E-2</v>
      </c>
      <c r="N117" s="5">
        <v>0.54833333333333334</v>
      </c>
      <c r="O117" s="5">
        <v>3.0395136778115501E-3</v>
      </c>
      <c r="P117">
        <v>1</v>
      </c>
      <c r="Q117" s="1">
        <v>1</v>
      </c>
      <c r="R117">
        <v>742370</v>
      </c>
      <c r="S117" s="1">
        <v>1</v>
      </c>
    </row>
    <row r="118" spans="1:19" x14ac:dyDescent="0.45">
      <c r="A118" t="s">
        <v>17</v>
      </c>
      <c r="B118" t="s">
        <v>21</v>
      </c>
      <c r="C118" t="s">
        <v>192</v>
      </c>
      <c r="D118" s="2">
        <v>1</v>
      </c>
      <c r="E118" s="2">
        <v>1</v>
      </c>
      <c r="F118" s="2">
        <v>713240</v>
      </c>
      <c r="G118" s="3">
        <v>3.9728928420160951E-2</v>
      </c>
      <c r="H118" s="3">
        <v>0.42857142857142855</v>
      </c>
      <c r="I118" s="3">
        <v>4.9751243781094526E-3</v>
      </c>
      <c r="J118" s="4">
        <v>0</v>
      </c>
      <c r="K118" s="4">
        <v>0</v>
      </c>
      <c r="L118" s="4">
        <v>0</v>
      </c>
      <c r="M118" s="5">
        <v>6.7302299495232754E-2</v>
      </c>
      <c r="N118" s="5">
        <v>0.54833333333333334</v>
      </c>
      <c r="O118" s="5">
        <v>0</v>
      </c>
      <c r="P118">
        <v>-1</v>
      </c>
      <c r="Q118" s="1">
        <v>-1</v>
      </c>
      <c r="R118">
        <v>-713240</v>
      </c>
      <c r="S118" s="1">
        <v>-1</v>
      </c>
    </row>
    <row r="119" spans="1:19" x14ac:dyDescent="0.45">
      <c r="A119" t="s">
        <v>17</v>
      </c>
      <c r="B119" t="s">
        <v>21</v>
      </c>
      <c r="C119" t="s">
        <v>193</v>
      </c>
      <c r="D119" s="2">
        <v>1</v>
      </c>
      <c r="E119" s="2">
        <v>1</v>
      </c>
      <c r="F119" s="2">
        <v>761230</v>
      </c>
      <c r="G119" s="3">
        <v>3.9728928420160951E-2</v>
      </c>
      <c r="H119" s="3">
        <v>0.42857142857142855</v>
      </c>
      <c r="I119" s="3">
        <v>4.9751243781094526E-3</v>
      </c>
      <c r="J119" s="4">
        <v>0</v>
      </c>
      <c r="K119" s="4">
        <v>0</v>
      </c>
      <c r="L119" s="4">
        <v>0</v>
      </c>
      <c r="M119" s="5">
        <v>6.7302299495232754E-2</v>
      </c>
      <c r="N119" s="5">
        <v>0.54833333333333334</v>
      </c>
      <c r="O119" s="5">
        <v>0</v>
      </c>
      <c r="P119">
        <v>-1</v>
      </c>
      <c r="Q119" s="1">
        <v>-1</v>
      </c>
      <c r="R119">
        <v>-761230</v>
      </c>
      <c r="S119" s="1">
        <v>-1</v>
      </c>
    </row>
    <row r="120" spans="1:19" x14ac:dyDescent="0.45">
      <c r="A120" t="s">
        <v>17</v>
      </c>
      <c r="B120" t="s">
        <v>21</v>
      </c>
      <c r="C120" t="s">
        <v>194</v>
      </c>
      <c r="D120" s="2">
        <v>1</v>
      </c>
      <c r="E120" s="2">
        <v>1</v>
      </c>
      <c r="F120" s="2">
        <v>673190</v>
      </c>
      <c r="G120" s="3">
        <v>3.9728928420160951E-2</v>
      </c>
      <c r="H120" s="3">
        <v>0.42857142857142855</v>
      </c>
      <c r="I120" s="3">
        <v>4.9751243781094526E-3</v>
      </c>
      <c r="J120" s="4">
        <v>0</v>
      </c>
      <c r="K120" s="4">
        <v>0</v>
      </c>
      <c r="L120" s="4">
        <v>0</v>
      </c>
      <c r="M120" s="5">
        <v>6.7302299495232754E-2</v>
      </c>
      <c r="N120" s="5">
        <v>0.54833333333333334</v>
      </c>
      <c r="O120" s="5">
        <v>0</v>
      </c>
      <c r="P120">
        <v>-1</v>
      </c>
      <c r="Q120" s="1">
        <v>-1</v>
      </c>
      <c r="R120">
        <v>-673190</v>
      </c>
      <c r="S120" s="1">
        <v>-1</v>
      </c>
    </row>
    <row r="121" spans="1:19" x14ac:dyDescent="0.45">
      <c r="A121" t="s">
        <v>17</v>
      </c>
      <c r="B121" t="s">
        <v>21</v>
      </c>
      <c r="C121" t="s">
        <v>195</v>
      </c>
      <c r="D121" s="2">
        <v>1</v>
      </c>
      <c r="E121" s="2">
        <v>1</v>
      </c>
      <c r="F121" s="2">
        <v>699450</v>
      </c>
      <c r="G121" s="3">
        <v>3.9728928420160951E-2</v>
      </c>
      <c r="H121" s="3">
        <v>0.42857142857142855</v>
      </c>
      <c r="I121" s="3">
        <v>4.9751243781094526E-3</v>
      </c>
      <c r="J121" s="4">
        <v>0</v>
      </c>
      <c r="K121" s="4">
        <v>0</v>
      </c>
      <c r="L121" s="4">
        <v>0</v>
      </c>
      <c r="M121" s="5">
        <v>6.7302299495232754E-2</v>
      </c>
      <c r="N121" s="5">
        <v>0.54833333333333334</v>
      </c>
      <c r="O121" s="5">
        <v>0</v>
      </c>
      <c r="P121">
        <v>-1</v>
      </c>
      <c r="Q121" s="1">
        <v>-1</v>
      </c>
      <c r="R121">
        <v>-699450</v>
      </c>
      <c r="S121" s="1">
        <v>-1</v>
      </c>
    </row>
    <row r="122" spans="1:19" x14ac:dyDescent="0.45">
      <c r="A122" t="s">
        <v>17</v>
      </c>
      <c r="B122" t="s">
        <v>21</v>
      </c>
      <c r="C122" t="s">
        <v>196</v>
      </c>
      <c r="D122" s="2">
        <v>1</v>
      </c>
      <c r="E122" s="2">
        <v>1</v>
      </c>
      <c r="F122" s="2">
        <v>714180</v>
      </c>
      <c r="G122" s="3">
        <v>3.9728928420160951E-2</v>
      </c>
      <c r="H122" s="3">
        <v>0.42857142857142855</v>
      </c>
      <c r="I122" s="3">
        <v>4.9751243781094526E-3</v>
      </c>
      <c r="J122" s="4">
        <v>0</v>
      </c>
      <c r="K122" s="4">
        <v>0</v>
      </c>
      <c r="L122" s="4">
        <v>0</v>
      </c>
      <c r="M122" s="5">
        <v>6.7302299495232754E-2</v>
      </c>
      <c r="N122" s="5">
        <v>0.54833333333333334</v>
      </c>
      <c r="O122" s="5">
        <v>0</v>
      </c>
      <c r="P122">
        <v>-1</v>
      </c>
      <c r="Q122" s="1">
        <v>-1</v>
      </c>
      <c r="R122">
        <v>-714180</v>
      </c>
      <c r="S122" s="1">
        <v>-1</v>
      </c>
    </row>
    <row r="123" spans="1:19" x14ac:dyDescent="0.45">
      <c r="A123" t="s">
        <v>17</v>
      </c>
      <c r="B123" t="s">
        <v>21</v>
      </c>
      <c r="C123" t="s">
        <v>197</v>
      </c>
      <c r="D123" s="2">
        <v>1</v>
      </c>
      <c r="E123" s="2">
        <v>1</v>
      </c>
      <c r="F123" s="2">
        <v>714180</v>
      </c>
      <c r="G123" s="3">
        <v>3.9728928420160951E-2</v>
      </c>
      <c r="H123" s="3">
        <v>0.42857142857142855</v>
      </c>
      <c r="I123" s="3">
        <v>4.9751243781094526E-3</v>
      </c>
      <c r="J123" s="4">
        <v>1</v>
      </c>
      <c r="K123" s="4">
        <v>1</v>
      </c>
      <c r="L123" s="4">
        <v>721090</v>
      </c>
      <c r="M123" s="5">
        <v>6.7302299495232754E-2</v>
      </c>
      <c r="N123" s="5">
        <v>0.54833333333333334</v>
      </c>
      <c r="O123" s="5">
        <v>3.0395136778115501E-3</v>
      </c>
      <c r="P123">
        <v>0</v>
      </c>
      <c r="Q123" s="1">
        <v>0</v>
      </c>
      <c r="R123">
        <v>6910</v>
      </c>
      <c r="S123" s="1">
        <v>9.6754319639306609E-3</v>
      </c>
    </row>
    <row r="124" spans="1:19" x14ac:dyDescent="0.45">
      <c r="A124" t="s">
        <v>17</v>
      </c>
      <c r="B124" t="s">
        <v>21</v>
      </c>
      <c r="C124" t="s">
        <v>198</v>
      </c>
      <c r="D124" s="2">
        <v>2</v>
      </c>
      <c r="E124" s="2">
        <v>2</v>
      </c>
      <c r="F124" s="2">
        <v>1550770</v>
      </c>
      <c r="G124" s="3">
        <v>3.9728928420160951E-2</v>
      </c>
      <c r="H124" s="3">
        <v>0.42857142857142855</v>
      </c>
      <c r="I124" s="3">
        <v>9.9502487562189053E-3</v>
      </c>
      <c r="J124" s="4">
        <v>4</v>
      </c>
      <c r="K124" s="4">
        <v>4</v>
      </c>
      <c r="L124" s="4">
        <v>2978090</v>
      </c>
      <c r="M124" s="5">
        <v>6.7302299495232754E-2</v>
      </c>
      <c r="N124" s="5">
        <v>0.54833333333333334</v>
      </c>
      <c r="O124" s="5">
        <v>1.2158054711246201E-2</v>
      </c>
      <c r="P124">
        <v>2</v>
      </c>
      <c r="Q124" s="1">
        <v>1</v>
      </c>
      <c r="R124">
        <v>1427320</v>
      </c>
      <c r="S124" s="1">
        <v>0.92039438472500756</v>
      </c>
    </row>
    <row r="125" spans="1:19" x14ac:dyDescent="0.45">
      <c r="A125" t="s">
        <v>17</v>
      </c>
      <c r="B125" t="s">
        <v>21</v>
      </c>
      <c r="C125" t="s">
        <v>199</v>
      </c>
      <c r="D125" s="2">
        <v>1</v>
      </c>
      <c r="E125" s="2">
        <v>1</v>
      </c>
      <c r="F125" s="2">
        <v>819000</v>
      </c>
      <c r="G125" s="3">
        <v>3.9728928420160951E-2</v>
      </c>
      <c r="H125" s="3">
        <v>0.42857142857142855</v>
      </c>
      <c r="I125" s="3">
        <v>4.9751243781094526E-3</v>
      </c>
      <c r="J125" s="4">
        <v>2</v>
      </c>
      <c r="K125" s="4">
        <v>2</v>
      </c>
      <c r="L125" s="4">
        <v>1522360</v>
      </c>
      <c r="M125" s="5">
        <v>6.7302299495232754E-2</v>
      </c>
      <c r="N125" s="5">
        <v>0.54833333333333334</v>
      </c>
      <c r="O125" s="5">
        <v>6.0790273556231003E-3</v>
      </c>
      <c r="P125">
        <v>1</v>
      </c>
      <c r="Q125" s="1">
        <v>1</v>
      </c>
      <c r="R125">
        <v>703360</v>
      </c>
      <c r="S125" s="1">
        <v>0.85880341880341882</v>
      </c>
    </row>
    <row r="126" spans="1:19" x14ac:dyDescent="0.45">
      <c r="A126" t="s">
        <v>17</v>
      </c>
      <c r="B126" t="s">
        <v>21</v>
      </c>
      <c r="C126" t="s">
        <v>200</v>
      </c>
      <c r="D126" s="2">
        <v>1</v>
      </c>
      <c r="E126" s="2">
        <v>1</v>
      </c>
      <c r="F126" s="2">
        <v>819000</v>
      </c>
      <c r="G126" s="3">
        <v>3.9728928420160951E-2</v>
      </c>
      <c r="H126" s="3">
        <v>0.42857142857142855</v>
      </c>
      <c r="I126" s="3">
        <v>4.9751243781094526E-3</v>
      </c>
      <c r="J126" s="4">
        <v>2</v>
      </c>
      <c r="K126" s="4">
        <v>2</v>
      </c>
      <c r="L126" s="4">
        <v>1541230</v>
      </c>
      <c r="M126" s="5">
        <v>6.7302299495232754E-2</v>
      </c>
      <c r="N126" s="5">
        <v>0.54833333333333334</v>
      </c>
      <c r="O126" s="5">
        <v>6.0790273556231003E-3</v>
      </c>
      <c r="P126">
        <v>1</v>
      </c>
      <c r="Q126" s="1">
        <v>1</v>
      </c>
      <c r="R126">
        <v>722230</v>
      </c>
      <c r="S126" s="1">
        <v>0.8818437118437118</v>
      </c>
    </row>
    <row r="127" spans="1:19" x14ac:dyDescent="0.45">
      <c r="A127" t="s">
        <v>17</v>
      </c>
      <c r="B127" t="s">
        <v>21</v>
      </c>
      <c r="C127" t="s">
        <v>201</v>
      </c>
      <c r="D127" s="2">
        <v>3</v>
      </c>
      <c r="E127" s="2">
        <v>3</v>
      </c>
      <c r="F127" s="2">
        <v>2330530</v>
      </c>
      <c r="G127" s="3">
        <v>3.9728928420160951E-2</v>
      </c>
      <c r="H127" s="3">
        <v>0.42857142857142855</v>
      </c>
      <c r="I127" s="3">
        <v>1.4925373134328358E-2</v>
      </c>
      <c r="J127" s="4">
        <v>1</v>
      </c>
      <c r="K127" s="4">
        <v>1</v>
      </c>
      <c r="L127" s="4">
        <v>770590</v>
      </c>
      <c r="M127" s="5">
        <v>6.7302299495232754E-2</v>
      </c>
      <c r="N127" s="5">
        <v>0.54833333333333334</v>
      </c>
      <c r="O127" s="5">
        <v>3.0395136778115501E-3</v>
      </c>
      <c r="P127">
        <v>-2</v>
      </c>
      <c r="Q127" s="1">
        <v>-0.66666666666666663</v>
      </c>
      <c r="R127">
        <v>-1559940</v>
      </c>
      <c r="S127" s="1">
        <v>-0.66934989036828529</v>
      </c>
    </row>
    <row r="128" spans="1:19" x14ac:dyDescent="0.45">
      <c r="A128" t="s">
        <v>17</v>
      </c>
      <c r="B128" t="s">
        <v>21</v>
      </c>
      <c r="C128" t="s">
        <v>202</v>
      </c>
      <c r="D128" s="2">
        <v>1</v>
      </c>
      <c r="E128" s="2">
        <v>1</v>
      </c>
      <c r="F128" s="2">
        <v>770610</v>
      </c>
      <c r="G128" s="3">
        <v>3.9728928420160951E-2</v>
      </c>
      <c r="H128" s="3">
        <v>0.42857142857142855</v>
      </c>
      <c r="I128" s="3">
        <v>4.9751243781094526E-3</v>
      </c>
      <c r="J128" s="4">
        <v>3</v>
      </c>
      <c r="K128" s="4">
        <v>3</v>
      </c>
      <c r="L128" s="4">
        <v>2316380</v>
      </c>
      <c r="M128" s="5">
        <v>6.7302299495232754E-2</v>
      </c>
      <c r="N128" s="5">
        <v>0.54833333333333334</v>
      </c>
      <c r="O128" s="5">
        <v>9.11854103343465E-3</v>
      </c>
      <c r="P128">
        <v>2</v>
      </c>
      <c r="Q128" s="1">
        <v>2</v>
      </c>
      <c r="R128">
        <v>1545770</v>
      </c>
      <c r="S128" s="1">
        <v>2.0059044133867974</v>
      </c>
    </row>
    <row r="129" spans="1:19" x14ac:dyDescent="0.45">
      <c r="A129" t="s">
        <v>17</v>
      </c>
      <c r="B129" t="s">
        <v>22</v>
      </c>
      <c r="C129" t="s">
        <v>203</v>
      </c>
      <c r="D129" s="2">
        <v>6</v>
      </c>
      <c r="E129" s="2">
        <v>6</v>
      </c>
      <c r="F129" s="2">
        <v>2696720</v>
      </c>
      <c r="G129" s="3">
        <v>3.9728928420160951E-2</v>
      </c>
      <c r="H129" s="3">
        <v>0.3347547974413646</v>
      </c>
      <c r="I129" s="3">
        <v>3.8216560509554139E-2</v>
      </c>
      <c r="J129" s="4">
        <v>2</v>
      </c>
      <c r="K129" s="4">
        <v>2</v>
      </c>
      <c r="L129" s="4">
        <v>953830</v>
      </c>
      <c r="M129" s="5">
        <v>6.7302299495232754E-2</v>
      </c>
      <c r="N129" s="5">
        <v>0.25833333333333336</v>
      </c>
      <c r="O129" s="5">
        <v>1.2903225806451613E-2</v>
      </c>
      <c r="P129">
        <v>-4</v>
      </c>
      <c r="Q129" s="1">
        <v>-0.66666666666666663</v>
      </c>
      <c r="R129">
        <v>-1742890</v>
      </c>
      <c r="S129" s="1">
        <v>-0.64629994956836456</v>
      </c>
    </row>
    <row r="130" spans="1:19" x14ac:dyDescent="0.45">
      <c r="A130" t="s">
        <v>17</v>
      </c>
      <c r="B130" t="s">
        <v>22</v>
      </c>
      <c r="C130" t="s">
        <v>204</v>
      </c>
      <c r="D130" s="2">
        <v>6</v>
      </c>
      <c r="E130" s="2">
        <v>6</v>
      </c>
      <c r="F130" s="2">
        <v>2889440</v>
      </c>
      <c r="G130" s="3">
        <v>3.9728928420160951E-2</v>
      </c>
      <c r="H130" s="3">
        <v>0.3347547974413646</v>
      </c>
      <c r="I130" s="3">
        <v>3.8216560509554139E-2</v>
      </c>
      <c r="J130" s="4">
        <v>1</v>
      </c>
      <c r="K130" s="4">
        <v>1</v>
      </c>
      <c r="L130" s="4">
        <v>478910</v>
      </c>
      <c r="M130" s="5">
        <v>6.7302299495232754E-2</v>
      </c>
      <c r="N130" s="5">
        <v>0.25833333333333336</v>
      </c>
      <c r="O130" s="5">
        <v>6.4516129032258064E-3</v>
      </c>
      <c r="P130">
        <v>-5</v>
      </c>
      <c r="Q130" s="1">
        <v>-0.83333333333333337</v>
      </c>
      <c r="R130">
        <v>-2410530</v>
      </c>
      <c r="S130" s="1">
        <v>-0.83425508056924524</v>
      </c>
    </row>
    <row r="131" spans="1:19" x14ac:dyDescent="0.45">
      <c r="A131" t="s">
        <v>17</v>
      </c>
      <c r="B131" t="s">
        <v>22</v>
      </c>
      <c r="C131" t="s">
        <v>205</v>
      </c>
      <c r="D131" s="2">
        <v>3</v>
      </c>
      <c r="E131" s="2">
        <v>3</v>
      </c>
      <c r="F131" s="2">
        <v>1197210</v>
      </c>
      <c r="G131" s="3">
        <v>3.9728928420160951E-2</v>
      </c>
      <c r="H131" s="3">
        <v>0.3347547974413646</v>
      </c>
      <c r="I131" s="3">
        <v>1.9108280254777069E-2</v>
      </c>
      <c r="J131" s="4">
        <v>2</v>
      </c>
      <c r="K131" s="4">
        <v>2</v>
      </c>
      <c r="L131" s="4">
        <v>909920</v>
      </c>
      <c r="M131" s="5">
        <v>6.7302299495232754E-2</v>
      </c>
      <c r="N131" s="5">
        <v>0.25833333333333336</v>
      </c>
      <c r="O131" s="5">
        <v>1.2903225806451613E-2</v>
      </c>
      <c r="P131">
        <v>-1</v>
      </c>
      <c r="Q131" s="1">
        <v>-0.33333333333333331</v>
      </c>
      <c r="R131">
        <v>-287290</v>
      </c>
      <c r="S131" s="1">
        <v>-0.23996625487591985</v>
      </c>
    </row>
    <row r="132" spans="1:19" x14ac:dyDescent="0.45">
      <c r="A132" t="s">
        <v>17</v>
      </c>
      <c r="B132" t="s">
        <v>22</v>
      </c>
      <c r="C132" t="s">
        <v>206</v>
      </c>
      <c r="D132" s="2">
        <v>27</v>
      </c>
      <c r="E132" s="2">
        <v>33</v>
      </c>
      <c r="F132" s="2">
        <v>15547740</v>
      </c>
      <c r="G132" s="3">
        <v>3.9728928420160951E-2</v>
      </c>
      <c r="H132" s="3">
        <v>0.3347547974413646</v>
      </c>
      <c r="I132" s="3">
        <v>0.21019108280254778</v>
      </c>
      <c r="J132" s="4">
        <v>17</v>
      </c>
      <c r="K132" s="4">
        <v>18</v>
      </c>
      <c r="L132" s="4">
        <v>8528670</v>
      </c>
      <c r="M132" s="5">
        <v>6.7302299495232754E-2</v>
      </c>
      <c r="N132" s="5">
        <v>0.25833333333333336</v>
      </c>
      <c r="O132" s="5">
        <v>0.11612903225806452</v>
      </c>
      <c r="P132">
        <v>-15</v>
      </c>
      <c r="Q132" s="1">
        <v>-0.45454545454545453</v>
      </c>
      <c r="R132">
        <v>-7019070</v>
      </c>
      <c r="S132" s="1">
        <v>-0.45145275133234797</v>
      </c>
    </row>
    <row r="133" spans="1:19" x14ac:dyDescent="0.45">
      <c r="A133" t="s">
        <v>17</v>
      </c>
      <c r="B133" t="s">
        <v>22</v>
      </c>
      <c r="C133" t="s">
        <v>207</v>
      </c>
      <c r="D133" s="2">
        <v>10</v>
      </c>
      <c r="E133" s="2">
        <v>10</v>
      </c>
      <c r="F133" s="2">
        <v>4901900</v>
      </c>
      <c r="G133" s="3">
        <v>3.9728928420160951E-2</v>
      </c>
      <c r="H133" s="3">
        <v>0.3347547974413646</v>
      </c>
      <c r="I133" s="3">
        <v>6.3694267515923567E-2</v>
      </c>
      <c r="J133" s="4">
        <v>9</v>
      </c>
      <c r="K133" s="4">
        <v>9</v>
      </c>
      <c r="L133" s="4">
        <v>4394260</v>
      </c>
      <c r="M133" s="5">
        <v>6.7302299495232754E-2</v>
      </c>
      <c r="N133" s="5">
        <v>0.25833333333333336</v>
      </c>
      <c r="O133" s="5">
        <v>5.8064516129032261E-2</v>
      </c>
      <c r="P133">
        <v>-1</v>
      </c>
      <c r="Q133" s="1">
        <v>-0.1</v>
      </c>
      <c r="R133">
        <v>-507640</v>
      </c>
      <c r="S133" s="1">
        <v>-0.10355984414206736</v>
      </c>
    </row>
    <row r="134" spans="1:19" x14ac:dyDescent="0.45">
      <c r="A134" t="s">
        <v>17</v>
      </c>
      <c r="B134" t="s">
        <v>22</v>
      </c>
      <c r="C134" t="s">
        <v>208</v>
      </c>
      <c r="D134" s="2">
        <v>6</v>
      </c>
      <c r="E134" s="2">
        <v>6</v>
      </c>
      <c r="F134" s="2">
        <v>3004830</v>
      </c>
      <c r="G134" s="3">
        <v>3.9728928420160951E-2</v>
      </c>
      <c r="H134" s="3">
        <v>0.3347547974413646</v>
      </c>
      <c r="I134" s="3">
        <v>3.8216560509554139E-2</v>
      </c>
      <c r="J134" s="4">
        <v>5</v>
      </c>
      <c r="K134" s="4">
        <v>5</v>
      </c>
      <c r="L134" s="4">
        <v>2469850</v>
      </c>
      <c r="M134" s="5">
        <v>6.7302299495232754E-2</v>
      </c>
      <c r="N134" s="5">
        <v>0.25833333333333336</v>
      </c>
      <c r="O134" s="5">
        <v>3.2258064516129031E-2</v>
      </c>
      <c r="P134">
        <v>-1</v>
      </c>
      <c r="Q134" s="1">
        <v>-0.16666666666666666</v>
      </c>
      <c r="R134">
        <v>-534980</v>
      </c>
      <c r="S134" s="1">
        <v>-0.17804002223087495</v>
      </c>
    </row>
    <row r="135" spans="1:19" x14ac:dyDescent="0.45">
      <c r="A135" t="s">
        <v>17</v>
      </c>
      <c r="B135" t="s">
        <v>22</v>
      </c>
      <c r="C135" t="s">
        <v>209</v>
      </c>
      <c r="D135" s="2">
        <v>1</v>
      </c>
      <c r="E135" s="2">
        <v>1</v>
      </c>
      <c r="F135" s="2">
        <v>398080</v>
      </c>
      <c r="G135" s="3">
        <v>3.9728928420160951E-2</v>
      </c>
      <c r="H135" s="3">
        <v>0.3347547974413646</v>
      </c>
      <c r="I135" s="3">
        <v>6.369426751592357E-3</v>
      </c>
      <c r="J135" s="4">
        <v>3</v>
      </c>
      <c r="K135" s="4">
        <v>3</v>
      </c>
      <c r="L135" s="4">
        <v>1423920</v>
      </c>
      <c r="M135" s="5">
        <v>6.7302299495232754E-2</v>
      </c>
      <c r="N135" s="5">
        <v>0.25833333333333336</v>
      </c>
      <c r="O135" s="5">
        <v>1.935483870967742E-2</v>
      </c>
      <c r="P135">
        <v>2</v>
      </c>
      <c r="Q135" s="1">
        <v>2</v>
      </c>
      <c r="R135">
        <v>1025840</v>
      </c>
      <c r="S135" s="1">
        <v>2.576969453376206</v>
      </c>
    </row>
    <row r="136" spans="1:19" x14ac:dyDescent="0.45">
      <c r="A136" t="s">
        <v>17</v>
      </c>
      <c r="B136" t="s">
        <v>22</v>
      </c>
      <c r="C136" t="s">
        <v>210</v>
      </c>
      <c r="D136" s="2">
        <v>41</v>
      </c>
      <c r="E136" s="2">
        <v>44</v>
      </c>
      <c r="F136" s="2">
        <v>21170400</v>
      </c>
      <c r="G136" s="3">
        <v>3.9728928420160951E-2</v>
      </c>
      <c r="H136" s="3">
        <v>0.3347547974413646</v>
      </c>
      <c r="I136" s="3">
        <v>0.28025477707006369</v>
      </c>
      <c r="J136" s="4">
        <v>55</v>
      </c>
      <c r="K136" s="4">
        <v>57</v>
      </c>
      <c r="L136" s="4">
        <v>27461450</v>
      </c>
      <c r="M136" s="5">
        <v>6.7302299495232754E-2</v>
      </c>
      <c r="N136" s="5">
        <v>0.25833333333333336</v>
      </c>
      <c r="O136" s="5">
        <v>0.36774193548387096</v>
      </c>
      <c r="P136">
        <v>13</v>
      </c>
      <c r="Q136" s="1">
        <v>0.29545454545454547</v>
      </c>
      <c r="R136">
        <v>6291050</v>
      </c>
      <c r="S136" s="1">
        <v>0.29716254770812078</v>
      </c>
    </row>
    <row r="137" spans="1:19" x14ac:dyDescent="0.45">
      <c r="A137" t="s">
        <v>17</v>
      </c>
      <c r="B137" t="s">
        <v>22</v>
      </c>
      <c r="C137" t="s">
        <v>211</v>
      </c>
      <c r="D137" s="2">
        <v>1</v>
      </c>
      <c r="E137" s="2">
        <v>1</v>
      </c>
      <c r="F137" s="2">
        <v>498530</v>
      </c>
      <c r="G137" s="3">
        <v>3.9728928420160951E-2</v>
      </c>
      <c r="H137" s="3">
        <v>0.3347547974413646</v>
      </c>
      <c r="I137" s="3">
        <v>6.369426751592357E-3</v>
      </c>
      <c r="J137" s="4">
        <v>6</v>
      </c>
      <c r="K137" s="4">
        <v>7</v>
      </c>
      <c r="L137" s="4">
        <v>3548280</v>
      </c>
      <c r="M137" s="5">
        <v>6.7302299495232754E-2</v>
      </c>
      <c r="N137" s="5">
        <v>0.25833333333333336</v>
      </c>
      <c r="O137" s="5">
        <v>4.5161290322580643E-2</v>
      </c>
      <c r="P137">
        <v>6</v>
      </c>
      <c r="Q137" s="1">
        <v>6</v>
      </c>
      <c r="R137">
        <v>3049750</v>
      </c>
      <c r="S137" s="1">
        <v>6.1174854070968649</v>
      </c>
    </row>
    <row r="138" spans="1:19" x14ac:dyDescent="0.45">
      <c r="A138" t="s">
        <v>17</v>
      </c>
      <c r="B138" t="s">
        <v>22</v>
      </c>
      <c r="C138" t="s">
        <v>212</v>
      </c>
      <c r="D138" s="2">
        <v>2</v>
      </c>
      <c r="E138" s="2">
        <v>2</v>
      </c>
      <c r="F138" s="2">
        <v>978480</v>
      </c>
      <c r="G138" s="3">
        <v>3.9728928420160951E-2</v>
      </c>
      <c r="H138" s="3">
        <v>0.3347547974413646</v>
      </c>
      <c r="I138" s="3">
        <v>1.2738853503184714E-2</v>
      </c>
      <c r="J138" s="4">
        <v>1</v>
      </c>
      <c r="K138" s="4">
        <v>1</v>
      </c>
      <c r="L138" s="4">
        <v>541000</v>
      </c>
      <c r="M138" s="5">
        <v>6.7302299495232754E-2</v>
      </c>
      <c r="N138" s="5">
        <v>0.25833333333333336</v>
      </c>
      <c r="O138" s="5">
        <v>6.4516129032258064E-3</v>
      </c>
      <c r="P138">
        <v>-1</v>
      </c>
      <c r="Q138" s="1">
        <v>-0.5</v>
      </c>
      <c r="R138">
        <v>-437480</v>
      </c>
      <c r="S138" s="1">
        <v>-0.44710162701332679</v>
      </c>
    </row>
    <row r="139" spans="1:19" x14ac:dyDescent="0.45">
      <c r="A139" t="s">
        <v>17</v>
      </c>
      <c r="B139" t="s">
        <v>22</v>
      </c>
      <c r="C139" t="s">
        <v>213</v>
      </c>
      <c r="D139" s="2">
        <v>5</v>
      </c>
      <c r="E139" s="2">
        <v>5</v>
      </c>
      <c r="F139" s="2">
        <v>2521290</v>
      </c>
      <c r="G139" s="3">
        <v>3.9728928420160951E-2</v>
      </c>
      <c r="H139" s="3">
        <v>0.3347547974413646</v>
      </c>
      <c r="I139" s="3">
        <v>3.1847133757961783E-2</v>
      </c>
      <c r="J139" s="4">
        <v>2</v>
      </c>
      <c r="K139" s="4">
        <v>2</v>
      </c>
      <c r="L139" s="4">
        <v>1014960</v>
      </c>
      <c r="M139" s="5">
        <v>6.7302299495232754E-2</v>
      </c>
      <c r="N139" s="5">
        <v>0.25833333333333336</v>
      </c>
      <c r="O139" s="5">
        <v>1.2903225806451613E-2</v>
      </c>
      <c r="P139">
        <v>-3</v>
      </c>
      <c r="Q139" s="1">
        <v>-0.6</v>
      </c>
      <c r="R139">
        <v>-1506330</v>
      </c>
      <c r="S139" s="1">
        <v>-0.59744416548671508</v>
      </c>
    </row>
    <row r="140" spans="1:19" x14ac:dyDescent="0.45">
      <c r="A140" t="s">
        <v>17</v>
      </c>
      <c r="B140" t="s">
        <v>22</v>
      </c>
      <c r="C140" t="s">
        <v>214</v>
      </c>
      <c r="D140" s="2">
        <v>15</v>
      </c>
      <c r="E140" s="2">
        <v>15</v>
      </c>
      <c r="F140" s="2">
        <v>7269800</v>
      </c>
      <c r="G140" s="3">
        <v>3.9728928420160951E-2</v>
      </c>
      <c r="H140" s="3">
        <v>0.3347547974413646</v>
      </c>
      <c r="I140" s="3">
        <v>9.5541401273885357E-2</v>
      </c>
      <c r="J140" s="4">
        <v>23</v>
      </c>
      <c r="K140" s="4">
        <v>23</v>
      </c>
      <c r="L140" s="4">
        <v>11504740</v>
      </c>
      <c r="M140" s="5">
        <v>6.7302299495232754E-2</v>
      </c>
      <c r="N140" s="5">
        <v>0.25833333333333336</v>
      </c>
      <c r="O140" s="5">
        <v>0.14838709677419354</v>
      </c>
      <c r="P140">
        <v>8</v>
      </c>
      <c r="Q140" s="1">
        <v>0.53333333333333333</v>
      </c>
      <c r="R140">
        <v>4234940</v>
      </c>
      <c r="S140" s="1">
        <v>0.58253872183553879</v>
      </c>
    </row>
    <row r="141" spans="1:19" x14ac:dyDescent="0.45">
      <c r="A141" t="s">
        <v>17</v>
      </c>
      <c r="B141" t="s">
        <v>22</v>
      </c>
      <c r="C141" t="s">
        <v>215</v>
      </c>
      <c r="D141" s="2">
        <v>2</v>
      </c>
      <c r="E141" s="2">
        <v>2</v>
      </c>
      <c r="F141" s="2">
        <v>955370</v>
      </c>
      <c r="G141" s="3">
        <v>3.9728928420160951E-2</v>
      </c>
      <c r="H141" s="3">
        <v>0.3347547974413646</v>
      </c>
      <c r="I141" s="3">
        <v>1.2738853503184714E-2</v>
      </c>
      <c r="J141" s="4">
        <v>1</v>
      </c>
      <c r="K141" s="4">
        <v>1</v>
      </c>
      <c r="L141" s="4">
        <v>510220</v>
      </c>
      <c r="M141" s="5">
        <v>6.7302299495232754E-2</v>
      </c>
      <c r="N141" s="5">
        <v>0.25833333333333336</v>
      </c>
      <c r="O141" s="5">
        <v>6.4516129032258064E-3</v>
      </c>
      <c r="P141">
        <v>-1</v>
      </c>
      <c r="Q141" s="1">
        <v>-0.5</v>
      </c>
      <c r="R141">
        <v>-445150</v>
      </c>
      <c r="S141" s="1">
        <v>-0.46594513120571085</v>
      </c>
    </row>
    <row r="142" spans="1:19" x14ac:dyDescent="0.45">
      <c r="A142" t="s">
        <v>17</v>
      </c>
      <c r="B142" t="s">
        <v>22</v>
      </c>
      <c r="C142" t="s">
        <v>216</v>
      </c>
      <c r="D142" s="2">
        <v>0</v>
      </c>
      <c r="E142" s="2">
        <v>0</v>
      </c>
      <c r="F142" s="2">
        <v>0</v>
      </c>
      <c r="G142" s="3">
        <v>3.9728928420160951E-2</v>
      </c>
      <c r="H142" s="3">
        <v>0.3347547974413646</v>
      </c>
      <c r="I142" s="3">
        <v>0</v>
      </c>
      <c r="J142" s="4">
        <v>2</v>
      </c>
      <c r="K142" s="4">
        <v>2</v>
      </c>
      <c r="L142" s="4">
        <v>945160</v>
      </c>
      <c r="M142" s="5">
        <v>6.7302299495232754E-2</v>
      </c>
      <c r="N142" s="5">
        <v>0.25833333333333336</v>
      </c>
      <c r="O142" s="5">
        <v>1.2903225806451613E-2</v>
      </c>
      <c r="P142">
        <v>2</v>
      </c>
      <c r="Q142" s="1">
        <v>1</v>
      </c>
      <c r="R142">
        <v>945160</v>
      </c>
      <c r="S142" s="1">
        <v>1</v>
      </c>
    </row>
    <row r="143" spans="1:19" x14ac:dyDescent="0.45">
      <c r="A143" t="s">
        <v>17</v>
      </c>
      <c r="B143" t="s">
        <v>22</v>
      </c>
      <c r="C143" t="s">
        <v>217</v>
      </c>
      <c r="D143" s="2">
        <v>0</v>
      </c>
      <c r="E143" s="2">
        <v>0</v>
      </c>
      <c r="F143" s="2">
        <v>0</v>
      </c>
      <c r="G143" s="3">
        <v>3.9728928420160951E-2</v>
      </c>
      <c r="H143" s="3">
        <v>0.3347547974413646</v>
      </c>
      <c r="I143" s="3">
        <v>0</v>
      </c>
      <c r="J143" s="4">
        <v>3</v>
      </c>
      <c r="K143" s="4">
        <v>4</v>
      </c>
      <c r="L143" s="4">
        <v>1933530</v>
      </c>
      <c r="M143" s="5">
        <v>6.7302299495232754E-2</v>
      </c>
      <c r="N143" s="5">
        <v>0.25833333333333336</v>
      </c>
      <c r="O143" s="5">
        <v>2.5806451612903226E-2</v>
      </c>
      <c r="P143">
        <v>4</v>
      </c>
      <c r="Q143" s="1">
        <v>1</v>
      </c>
      <c r="R143">
        <v>1933530</v>
      </c>
      <c r="S143" s="1">
        <v>1</v>
      </c>
    </row>
    <row r="144" spans="1:19" x14ac:dyDescent="0.45">
      <c r="A144" t="s">
        <v>17</v>
      </c>
      <c r="B144" t="s">
        <v>22</v>
      </c>
      <c r="C144" t="s">
        <v>218</v>
      </c>
      <c r="D144" s="2">
        <v>8</v>
      </c>
      <c r="E144" s="2">
        <v>8</v>
      </c>
      <c r="F144" s="2">
        <v>3932550</v>
      </c>
      <c r="G144" s="3">
        <v>3.9728928420160951E-2</v>
      </c>
      <c r="H144" s="3">
        <v>0.3347547974413646</v>
      </c>
      <c r="I144" s="3">
        <v>5.0955414012738856E-2</v>
      </c>
      <c r="J144" s="4">
        <v>4</v>
      </c>
      <c r="K144" s="4">
        <v>4</v>
      </c>
      <c r="L144" s="4">
        <v>1999610</v>
      </c>
      <c r="M144" s="5">
        <v>6.7302299495232754E-2</v>
      </c>
      <c r="N144" s="5">
        <v>0.25833333333333336</v>
      </c>
      <c r="O144" s="5">
        <v>2.5806451612903226E-2</v>
      </c>
      <c r="P144">
        <v>-4</v>
      </c>
      <c r="Q144" s="1">
        <v>-0.5</v>
      </c>
      <c r="R144">
        <v>-1932940</v>
      </c>
      <c r="S144" s="1">
        <v>-0.49152331184600323</v>
      </c>
    </row>
    <row r="145" spans="1:19" x14ac:dyDescent="0.45">
      <c r="A145" t="s">
        <v>17</v>
      </c>
      <c r="B145" t="s">
        <v>22</v>
      </c>
      <c r="C145" t="s">
        <v>219</v>
      </c>
      <c r="D145" s="2">
        <v>4</v>
      </c>
      <c r="E145" s="2">
        <v>4</v>
      </c>
      <c r="F145" s="2">
        <v>2029220</v>
      </c>
      <c r="G145" s="3">
        <v>3.9728928420160951E-2</v>
      </c>
      <c r="H145" s="3">
        <v>0.3347547974413646</v>
      </c>
      <c r="I145" s="3">
        <v>2.5477707006369428E-2</v>
      </c>
      <c r="J145" s="4">
        <v>0</v>
      </c>
      <c r="K145" s="4">
        <v>0</v>
      </c>
      <c r="L145" s="4">
        <v>0</v>
      </c>
      <c r="M145" s="5">
        <v>6.7302299495232754E-2</v>
      </c>
      <c r="N145" s="5">
        <v>0.25833333333333336</v>
      </c>
      <c r="O145" s="5">
        <v>0</v>
      </c>
      <c r="P145">
        <v>-4</v>
      </c>
      <c r="Q145" s="1">
        <v>-1</v>
      </c>
      <c r="R145">
        <v>-2029220</v>
      </c>
      <c r="S145" s="1">
        <v>-1</v>
      </c>
    </row>
    <row r="146" spans="1:19" x14ac:dyDescent="0.45">
      <c r="A146" t="s">
        <v>17</v>
      </c>
      <c r="B146" t="s">
        <v>22</v>
      </c>
      <c r="C146" t="s">
        <v>220</v>
      </c>
      <c r="D146" s="2">
        <v>1</v>
      </c>
      <c r="E146" s="2">
        <v>1</v>
      </c>
      <c r="F146" s="2">
        <v>529620</v>
      </c>
      <c r="G146" s="3">
        <v>3.9728928420160951E-2</v>
      </c>
      <c r="H146" s="3">
        <v>0.3347547974413646</v>
      </c>
      <c r="I146" s="3">
        <v>6.369426751592357E-3</v>
      </c>
      <c r="J146" s="4">
        <v>0</v>
      </c>
      <c r="K146" s="4">
        <v>0</v>
      </c>
      <c r="L146" s="4">
        <v>0</v>
      </c>
      <c r="M146" s="5">
        <v>6.7302299495232754E-2</v>
      </c>
      <c r="N146" s="5">
        <v>0.25833333333333336</v>
      </c>
      <c r="O146" s="5">
        <v>0</v>
      </c>
      <c r="P146">
        <v>-1</v>
      </c>
      <c r="Q146" s="1">
        <v>-1</v>
      </c>
      <c r="R146">
        <v>-529620</v>
      </c>
      <c r="S146" s="1">
        <v>-1</v>
      </c>
    </row>
    <row r="147" spans="1:19" x14ac:dyDescent="0.45">
      <c r="A147" t="s">
        <v>17</v>
      </c>
      <c r="B147" t="s">
        <v>22</v>
      </c>
      <c r="C147" t="s">
        <v>221</v>
      </c>
      <c r="D147" s="2">
        <v>1</v>
      </c>
      <c r="E147" s="2">
        <v>1</v>
      </c>
      <c r="F147" s="2">
        <v>499610</v>
      </c>
      <c r="G147" s="3">
        <v>3.9728928420160951E-2</v>
      </c>
      <c r="H147" s="3">
        <v>0.3347547974413646</v>
      </c>
      <c r="I147" s="3">
        <v>6.369426751592357E-3</v>
      </c>
      <c r="J147" s="4">
        <v>0</v>
      </c>
      <c r="K147" s="4">
        <v>0</v>
      </c>
      <c r="L147" s="4">
        <v>0</v>
      </c>
      <c r="M147" s="5">
        <v>6.7302299495232754E-2</v>
      </c>
      <c r="N147" s="5">
        <v>0.25833333333333336</v>
      </c>
      <c r="O147" s="5">
        <v>0</v>
      </c>
      <c r="P147">
        <v>-1</v>
      </c>
      <c r="Q147" s="1">
        <v>-1</v>
      </c>
      <c r="R147">
        <v>-499610</v>
      </c>
      <c r="S147" s="1">
        <v>-1</v>
      </c>
    </row>
    <row r="148" spans="1:19" x14ac:dyDescent="0.45">
      <c r="A148" t="s">
        <v>17</v>
      </c>
      <c r="B148" t="s">
        <v>22</v>
      </c>
      <c r="C148" t="s">
        <v>222</v>
      </c>
      <c r="D148" s="2">
        <v>6</v>
      </c>
      <c r="E148" s="2">
        <v>6</v>
      </c>
      <c r="F148" s="2">
        <v>2937640</v>
      </c>
      <c r="G148" s="3">
        <v>3.9728928420160951E-2</v>
      </c>
      <c r="H148" s="3">
        <v>0.3347547974413646</v>
      </c>
      <c r="I148" s="3">
        <v>3.8216560509554139E-2</v>
      </c>
      <c r="J148" s="4">
        <v>7</v>
      </c>
      <c r="K148" s="4">
        <v>7</v>
      </c>
      <c r="L148" s="4">
        <v>3528280</v>
      </c>
      <c r="M148" s="5">
        <v>6.7302299495232754E-2</v>
      </c>
      <c r="N148" s="5">
        <v>0.25833333333333336</v>
      </c>
      <c r="O148" s="5">
        <v>4.5161290322580643E-2</v>
      </c>
      <c r="P148">
        <v>1</v>
      </c>
      <c r="Q148" s="1">
        <v>0.16666666666666666</v>
      </c>
      <c r="R148">
        <v>590640</v>
      </c>
      <c r="S148" s="1">
        <v>0.2010593537669694</v>
      </c>
    </row>
    <row r="149" spans="1:19" x14ac:dyDescent="0.45">
      <c r="A149" t="s">
        <v>17</v>
      </c>
      <c r="B149" t="s">
        <v>22</v>
      </c>
      <c r="C149" t="s">
        <v>223</v>
      </c>
      <c r="D149" s="2">
        <v>1</v>
      </c>
      <c r="E149" s="2">
        <v>1</v>
      </c>
      <c r="F149" s="2">
        <v>498770</v>
      </c>
      <c r="G149" s="3">
        <v>3.9728928420160951E-2</v>
      </c>
      <c r="H149" s="3">
        <v>0.3347547974413646</v>
      </c>
      <c r="I149" s="3">
        <v>6.369426751592357E-3</v>
      </c>
      <c r="J149" s="4">
        <v>2</v>
      </c>
      <c r="K149" s="4">
        <v>2</v>
      </c>
      <c r="L149" s="4">
        <v>1066290</v>
      </c>
      <c r="M149" s="5">
        <v>6.7302299495232754E-2</v>
      </c>
      <c r="N149" s="5">
        <v>0.25833333333333336</v>
      </c>
      <c r="O149" s="5">
        <v>1.2903225806451613E-2</v>
      </c>
      <c r="P149">
        <v>1</v>
      </c>
      <c r="Q149" s="1">
        <v>1</v>
      </c>
      <c r="R149">
        <v>567520</v>
      </c>
      <c r="S149" s="1">
        <v>1.1378390841470016</v>
      </c>
    </row>
    <row r="150" spans="1:19" x14ac:dyDescent="0.45">
      <c r="A150" t="s">
        <v>17</v>
      </c>
      <c r="B150" t="s">
        <v>22</v>
      </c>
      <c r="C150" t="s">
        <v>224</v>
      </c>
      <c r="D150" s="2">
        <v>0</v>
      </c>
      <c r="E150" s="2">
        <v>0</v>
      </c>
      <c r="F150" s="2">
        <v>0</v>
      </c>
      <c r="G150" s="3">
        <v>3.9728928420160951E-2</v>
      </c>
      <c r="H150" s="3">
        <v>0.3347547974413646</v>
      </c>
      <c r="I150" s="3">
        <v>0</v>
      </c>
      <c r="J150" s="4">
        <v>1</v>
      </c>
      <c r="K150" s="4">
        <v>1</v>
      </c>
      <c r="L150" s="4">
        <v>525030</v>
      </c>
      <c r="M150" s="5">
        <v>6.7302299495232754E-2</v>
      </c>
      <c r="N150" s="5">
        <v>0.25833333333333336</v>
      </c>
      <c r="O150" s="5">
        <v>6.4516129032258064E-3</v>
      </c>
      <c r="P150">
        <v>1</v>
      </c>
      <c r="Q150" s="1">
        <v>1</v>
      </c>
      <c r="R150">
        <v>525030</v>
      </c>
      <c r="S150" s="1">
        <v>1</v>
      </c>
    </row>
    <row r="151" spans="1:19" x14ac:dyDescent="0.45">
      <c r="A151" t="s">
        <v>17</v>
      </c>
      <c r="B151" t="s">
        <v>22</v>
      </c>
      <c r="C151" t="s">
        <v>225</v>
      </c>
      <c r="D151" s="2">
        <v>2</v>
      </c>
      <c r="E151" s="2">
        <v>2</v>
      </c>
      <c r="F151" s="2">
        <v>1009660</v>
      </c>
      <c r="G151" s="3">
        <v>3.9728928420160951E-2</v>
      </c>
      <c r="H151" s="3">
        <v>0.3347547974413646</v>
      </c>
      <c r="I151" s="3">
        <v>1.2738853503184714E-2</v>
      </c>
      <c r="J151" s="4">
        <v>4</v>
      </c>
      <c r="K151" s="4">
        <v>4</v>
      </c>
      <c r="L151" s="4">
        <v>1989120</v>
      </c>
      <c r="M151" s="5">
        <v>6.7302299495232754E-2</v>
      </c>
      <c r="N151" s="5">
        <v>0.25833333333333336</v>
      </c>
      <c r="O151" s="5">
        <v>2.5806451612903226E-2</v>
      </c>
      <c r="P151">
        <v>2</v>
      </c>
      <c r="Q151" s="1">
        <v>1</v>
      </c>
      <c r="R151">
        <v>979460</v>
      </c>
      <c r="S151" s="1">
        <v>0.97008894083156705</v>
      </c>
    </row>
    <row r="152" spans="1:19" x14ac:dyDescent="0.45">
      <c r="A152" t="s">
        <v>23</v>
      </c>
      <c r="B152" t="s">
        <v>24</v>
      </c>
      <c r="C152" t="s">
        <v>226</v>
      </c>
      <c r="D152" s="2">
        <v>0</v>
      </c>
      <c r="E152" s="2">
        <v>0</v>
      </c>
      <c r="F152" s="2">
        <v>0</v>
      </c>
      <c r="G152" s="3">
        <v>1.7280813214739517E-2</v>
      </c>
      <c r="H152" s="3">
        <v>4.9019607843137254E-3</v>
      </c>
      <c r="I152" s="3">
        <v>0</v>
      </c>
      <c r="J152" s="4">
        <v>1</v>
      </c>
      <c r="K152" s="4">
        <v>8</v>
      </c>
      <c r="L152" s="4">
        <v>1595760</v>
      </c>
      <c r="M152" s="5">
        <v>1.6489063376332026E-2</v>
      </c>
      <c r="N152" s="5">
        <v>8.8435374149659865E-2</v>
      </c>
      <c r="O152" s="5">
        <v>0.61538461538461542</v>
      </c>
      <c r="P152">
        <v>8</v>
      </c>
      <c r="Q152" s="1">
        <v>1</v>
      </c>
      <c r="R152">
        <v>1595760</v>
      </c>
      <c r="S152" s="1">
        <v>1</v>
      </c>
    </row>
    <row r="153" spans="1:19" x14ac:dyDescent="0.45">
      <c r="A153" t="s">
        <v>23</v>
      </c>
      <c r="B153" t="s">
        <v>24</v>
      </c>
      <c r="C153" t="s">
        <v>227</v>
      </c>
      <c r="D153" s="2">
        <v>1</v>
      </c>
      <c r="E153" s="2">
        <v>1</v>
      </c>
      <c r="F153" s="2">
        <v>179710</v>
      </c>
      <c r="G153" s="3">
        <v>1.7280813214739517E-2</v>
      </c>
      <c r="H153" s="3">
        <v>4.9019607843137254E-3</v>
      </c>
      <c r="I153" s="3">
        <v>1</v>
      </c>
      <c r="J153" s="4">
        <v>4</v>
      </c>
      <c r="K153" s="4">
        <v>5</v>
      </c>
      <c r="L153" s="4">
        <v>752980</v>
      </c>
      <c r="M153" s="5">
        <v>1.6489063376332026E-2</v>
      </c>
      <c r="N153" s="5">
        <v>8.8435374149659865E-2</v>
      </c>
      <c r="O153" s="5">
        <v>0.38461538461538464</v>
      </c>
      <c r="P153">
        <v>4</v>
      </c>
      <c r="Q153" s="1">
        <v>4</v>
      </c>
      <c r="R153">
        <v>573270</v>
      </c>
      <c r="S153" s="1">
        <v>3.1899727338489789</v>
      </c>
    </row>
    <row r="154" spans="1:19" x14ac:dyDescent="0.45">
      <c r="A154" t="s">
        <v>23</v>
      </c>
      <c r="B154" t="s">
        <v>25</v>
      </c>
      <c r="C154" t="s">
        <v>228</v>
      </c>
      <c r="D154" s="2">
        <v>92</v>
      </c>
      <c r="E154" s="2">
        <v>96</v>
      </c>
      <c r="F154" s="2">
        <v>23090280</v>
      </c>
      <c r="G154" s="3">
        <v>1.7280813214739517E-2</v>
      </c>
      <c r="H154" s="3">
        <v>0.99509803921568629</v>
      </c>
      <c r="I154" s="3">
        <v>0.47290640394088668</v>
      </c>
      <c r="J154" s="4">
        <v>68</v>
      </c>
      <c r="K154" s="4">
        <v>70</v>
      </c>
      <c r="L154" s="4">
        <v>16728670</v>
      </c>
      <c r="M154" s="5">
        <v>1.6489063376332026E-2</v>
      </c>
      <c r="N154" s="5">
        <v>0.91156462585034015</v>
      </c>
      <c r="O154" s="5">
        <v>0.52238805970149249</v>
      </c>
      <c r="P154">
        <v>-26</v>
      </c>
      <c r="Q154" s="1">
        <v>-0.27083333333333331</v>
      </c>
      <c r="R154">
        <v>-6361610</v>
      </c>
      <c r="S154" s="1">
        <v>-0.27551030130427173</v>
      </c>
    </row>
    <row r="155" spans="1:19" x14ac:dyDescent="0.45">
      <c r="A155" t="s">
        <v>23</v>
      </c>
      <c r="B155" t="s">
        <v>25</v>
      </c>
      <c r="C155" t="s">
        <v>229</v>
      </c>
      <c r="D155" s="2">
        <v>106</v>
      </c>
      <c r="E155" s="2">
        <v>107</v>
      </c>
      <c r="F155" s="2">
        <v>23523930</v>
      </c>
      <c r="G155" s="3">
        <v>1.7280813214739517E-2</v>
      </c>
      <c r="H155" s="3">
        <v>0.99509803921568629</v>
      </c>
      <c r="I155" s="3">
        <v>0.52709359605911332</v>
      </c>
      <c r="J155" s="4">
        <v>64</v>
      </c>
      <c r="K155" s="4">
        <v>64</v>
      </c>
      <c r="L155" s="4">
        <v>14087040</v>
      </c>
      <c r="M155" s="5">
        <v>1.6489063376332026E-2</v>
      </c>
      <c r="N155" s="5">
        <v>0.91156462585034015</v>
      </c>
      <c r="O155" s="5">
        <v>0.47761194029850745</v>
      </c>
      <c r="P155">
        <v>-43</v>
      </c>
      <c r="Q155" s="1">
        <v>-0.40186915887850466</v>
      </c>
      <c r="R155">
        <v>-9436890</v>
      </c>
      <c r="S155" s="1">
        <v>-0.40116128555050112</v>
      </c>
    </row>
    <row r="156" spans="1:19" x14ac:dyDescent="0.45">
      <c r="A156" t="s">
        <v>26</v>
      </c>
      <c r="B156" t="s">
        <v>27</v>
      </c>
      <c r="C156" t="s">
        <v>230</v>
      </c>
      <c r="D156" s="2">
        <v>16</v>
      </c>
      <c r="E156" s="2">
        <v>17</v>
      </c>
      <c r="F156" s="2">
        <v>1499430</v>
      </c>
      <c r="G156" s="3">
        <v>4.7861075815332485E-2</v>
      </c>
      <c r="H156" s="3">
        <v>3.0088495575221239E-2</v>
      </c>
      <c r="I156" s="3">
        <v>1</v>
      </c>
      <c r="J156" s="4">
        <v>24</v>
      </c>
      <c r="K156" s="4">
        <v>24</v>
      </c>
      <c r="L156" s="4">
        <v>1878350</v>
      </c>
      <c r="M156" s="5">
        <v>5.0252383623107126E-2</v>
      </c>
      <c r="N156" s="5">
        <v>5.3571428571428568E-2</v>
      </c>
      <c r="O156" s="5">
        <v>1</v>
      </c>
      <c r="P156">
        <v>7</v>
      </c>
      <c r="Q156" s="1">
        <v>0.41176470588235292</v>
      </c>
      <c r="R156">
        <v>378920</v>
      </c>
      <c r="S156" s="1">
        <v>0.25270936289123203</v>
      </c>
    </row>
    <row r="157" spans="1:19" x14ac:dyDescent="0.45">
      <c r="A157" t="s">
        <v>26</v>
      </c>
      <c r="B157" t="s">
        <v>28</v>
      </c>
      <c r="C157" t="s">
        <v>231</v>
      </c>
      <c r="D157" s="2">
        <v>51</v>
      </c>
      <c r="E157" s="2">
        <v>56</v>
      </c>
      <c r="F157" s="2">
        <v>6734820</v>
      </c>
      <c r="G157" s="3">
        <v>4.7861075815332485E-2</v>
      </c>
      <c r="H157" s="3">
        <v>0.74336283185840712</v>
      </c>
      <c r="I157" s="3">
        <v>0.13333333333333333</v>
      </c>
      <c r="J157" s="4">
        <v>35</v>
      </c>
      <c r="K157" s="4">
        <v>41</v>
      </c>
      <c r="L157" s="4">
        <v>4934130</v>
      </c>
      <c r="M157" s="5">
        <v>5.0252383623107126E-2</v>
      </c>
      <c r="N157" s="5">
        <v>0.6674107142857143</v>
      </c>
      <c r="O157" s="5">
        <v>0.13712374581939799</v>
      </c>
      <c r="P157">
        <v>-15</v>
      </c>
      <c r="Q157" s="1">
        <v>-0.26785714285714285</v>
      </c>
      <c r="R157">
        <v>-1800690</v>
      </c>
      <c r="S157" s="1">
        <v>-0.26737017470400098</v>
      </c>
    </row>
    <row r="158" spans="1:19" x14ac:dyDescent="0.45">
      <c r="A158" t="s">
        <v>26</v>
      </c>
      <c r="B158" t="s">
        <v>28</v>
      </c>
      <c r="C158" t="s">
        <v>232</v>
      </c>
      <c r="D158" s="2">
        <v>299</v>
      </c>
      <c r="E158" s="2">
        <v>364</v>
      </c>
      <c r="F158" s="2">
        <v>40485510</v>
      </c>
      <c r="G158" s="3">
        <v>4.7861075815332485E-2</v>
      </c>
      <c r="H158" s="3">
        <v>0.74336283185840712</v>
      </c>
      <c r="I158" s="3">
        <v>0.8666666666666667</v>
      </c>
      <c r="J158" s="4">
        <v>233</v>
      </c>
      <c r="K158" s="4">
        <v>258</v>
      </c>
      <c r="L158" s="4">
        <v>28121350</v>
      </c>
      <c r="M158" s="5">
        <v>5.0252383623107126E-2</v>
      </c>
      <c r="N158" s="5">
        <v>0.6674107142857143</v>
      </c>
      <c r="O158" s="5">
        <v>0.86287625418060199</v>
      </c>
      <c r="P158">
        <v>-106</v>
      </c>
      <c r="Q158" s="1">
        <v>-0.29120879120879123</v>
      </c>
      <c r="R158">
        <v>-12364160</v>
      </c>
      <c r="S158" s="1">
        <v>-0.30539716555379937</v>
      </c>
    </row>
    <row r="159" spans="1:19" x14ac:dyDescent="0.45">
      <c r="A159" t="s">
        <v>26</v>
      </c>
      <c r="B159" t="s">
        <v>29</v>
      </c>
      <c r="C159" t="s">
        <v>233</v>
      </c>
      <c r="D159" s="2">
        <v>4</v>
      </c>
      <c r="E159" s="2">
        <v>4</v>
      </c>
      <c r="F159" s="2">
        <v>397580</v>
      </c>
      <c r="G159" s="3">
        <v>4.7861075815332485E-2</v>
      </c>
      <c r="H159" s="3">
        <v>0.15575221238938053</v>
      </c>
      <c r="I159" s="3">
        <v>4.5454545454545456E-2</v>
      </c>
      <c r="J159" s="4">
        <v>2</v>
      </c>
      <c r="K159" s="4">
        <v>2</v>
      </c>
      <c r="L159" s="4">
        <v>192050</v>
      </c>
      <c r="M159" s="5">
        <v>5.0252383623107126E-2</v>
      </c>
      <c r="N159" s="5">
        <v>0.21875</v>
      </c>
      <c r="O159" s="5">
        <v>2.0408163265306121E-2</v>
      </c>
      <c r="P159">
        <v>-2</v>
      </c>
      <c r="Q159" s="1">
        <v>-0.5</v>
      </c>
      <c r="R159">
        <v>-205530</v>
      </c>
      <c r="S159" s="1">
        <v>-0.51695256300618742</v>
      </c>
    </row>
    <row r="160" spans="1:19" x14ac:dyDescent="0.45">
      <c r="A160" t="s">
        <v>26</v>
      </c>
      <c r="B160" t="s">
        <v>29</v>
      </c>
      <c r="C160" t="s">
        <v>234</v>
      </c>
      <c r="D160" s="2">
        <v>76</v>
      </c>
      <c r="E160" s="2">
        <v>84</v>
      </c>
      <c r="F160" s="2">
        <v>11458820</v>
      </c>
      <c r="G160" s="3">
        <v>4.7861075815332485E-2</v>
      </c>
      <c r="H160" s="3">
        <v>0.15575221238938053</v>
      </c>
      <c r="I160" s="3">
        <v>0.95454545454545459</v>
      </c>
      <c r="J160" s="4">
        <v>91</v>
      </c>
      <c r="K160" s="4">
        <v>96</v>
      </c>
      <c r="L160" s="4">
        <v>13070600</v>
      </c>
      <c r="M160" s="5">
        <v>5.0252383623107126E-2</v>
      </c>
      <c r="N160" s="5">
        <v>0.21875</v>
      </c>
      <c r="O160" s="5">
        <v>0.97959183673469385</v>
      </c>
      <c r="P160">
        <v>12</v>
      </c>
      <c r="Q160" s="1">
        <v>0.14285714285714285</v>
      </c>
      <c r="R160">
        <v>1611780</v>
      </c>
      <c r="S160" s="1">
        <v>0.14065846221513209</v>
      </c>
    </row>
    <row r="161" spans="1:19" x14ac:dyDescent="0.45">
      <c r="A161" t="s">
        <v>26</v>
      </c>
      <c r="B161" t="s">
        <v>30</v>
      </c>
      <c r="C161" t="s">
        <v>235</v>
      </c>
      <c r="D161" s="2">
        <v>37</v>
      </c>
      <c r="E161" s="2">
        <v>40</v>
      </c>
      <c r="F161" s="2">
        <v>6318010</v>
      </c>
      <c r="G161" s="3">
        <v>4.7861075815332485E-2</v>
      </c>
      <c r="H161" s="3">
        <v>7.0796460176991149E-2</v>
      </c>
      <c r="I161" s="3">
        <v>1</v>
      </c>
      <c r="J161" s="4">
        <v>26</v>
      </c>
      <c r="K161" s="4">
        <v>27</v>
      </c>
      <c r="L161" s="4">
        <v>4200740</v>
      </c>
      <c r="M161" s="5">
        <v>5.0252383623107126E-2</v>
      </c>
      <c r="N161" s="5">
        <v>6.0267857142857144E-2</v>
      </c>
      <c r="O161" s="5">
        <v>1</v>
      </c>
      <c r="P161">
        <v>-13</v>
      </c>
      <c r="Q161" s="1">
        <v>-0.32500000000000001</v>
      </c>
      <c r="R161">
        <v>-2117270</v>
      </c>
      <c r="S161" s="1">
        <v>-0.3351165952570509</v>
      </c>
    </row>
    <row r="162" spans="1:19" x14ac:dyDescent="0.45">
      <c r="A162" t="s">
        <v>31</v>
      </c>
      <c r="B162" t="s">
        <v>32</v>
      </c>
      <c r="C162" t="s">
        <v>236</v>
      </c>
      <c r="D162" s="2">
        <v>44</v>
      </c>
      <c r="E162" s="2">
        <v>48</v>
      </c>
      <c r="F162" s="2">
        <v>1796310</v>
      </c>
      <c r="G162" s="3">
        <v>0.15213892418466751</v>
      </c>
      <c r="H162" s="3">
        <v>1</v>
      </c>
      <c r="I162" s="3">
        <v>2.6726057906458798E-2</v>
      </c>
      <c r="J162" s="4">
        <v>44</v>
      </c>
      <c r="K162" s="4">
        <v>46</v>
      </c>
      <c r="L162" s="4">
        <v>1748330</v>
      </c>
      <c r="M162" s="5">
        <v>0.15849691531127313</v>
      </c>
      <c r="N162" s="5">
        <v>1</v>
      </c>
      <c r="O162" s="5">
        <v>3.2554847841472043E-2</v>
      </c>
      <c r="P162">
        <v>-2</v>
      </c>
      <c r="Q162" s="1">
        <v>-4.1666666666666664E-2</v>
      </c>
      <c r="R162">
        <v>-47980</v>
      </c>
      <c r="S162" s="1">
        <v>-2.6710311694529341E-2</v>
      </c>
    </row>
    <row r="163" spans="1:19" x14ac:dyDescent="0.45">
      <c r="A163" t="s">
        <v>31</v>
      </c>
      <c r="B163" t="s">
        <v>32</v>
      </c>
      <c r="C163" t="s">
        <v>237</v>
      </c>
      <c r="D163" s="2">
        <v>1</v>
      </c>
      <c r="E163" s="2">
        <v>1</v>
      </c>
      <c r="F163" s="2">
        <v>72740</v>
      </c>
      <c r="G163" s="3">
        <v>0.15213892418466751</v>
      </c>
      <c r="H163" s="3">
        <v>1</v>
      </c>
      <c r="I163" s="3">
        <v>5.5679287305122492E-4</v>
      </c>
      <c r="J163" s="4">
        <v>0</v>
      </c>
      <c r="K163" s="4">
        <v>0</v>
      </c>
      <c r="L163" s="4">
        <v>0</v>
      </c>
      <c r="M163" s="5">
        <v>0.15849691531127313</v>
      </c>
      <c r="N163" s="5">
        <v>1</v>
      </c>
      <c r="O163" s="5">
        <v>0</v>
      </c>
      <c r="P163">
        <v>-1</v>
      </c>
      <c r="Q163" s="1">
        <v>-1</v>
      </c>
      <c r="R163">
        <v>-72740</v>
      </c>
      <c r="S163" s="1">
        <v>-1</v>
      </c>
    </row>
    <row r="164" spans="1:19" x14ac:dyDescent="0.45">
      <c r="A164" t="s">
        <v>31</v>
      </c>
      <c r="B164" t="s">
        <v>32</v>
      </c>
      <c r="C164" t="s">
        <v>238</v>
      </c>
      <c r="D164" s="2">
        <v>0</v>
      </c>
      <c r="E164" s="2">
        <v>0</v>
      </c>
      <c r="F164" s="2">
        <v>0</v>
      </c>
      <c r="G164" s="3">
        <v>0.15213892418466751</v>
      </c>
      <c r="H164" s="3">
        <v>1</v>
      </c>
      <c r="I164" s="3">
        <v>0</v>
      </c>
      <c r="J164" s="4">
        <v>0</v>
      </c>
      <c r="K164" s="4">
        <v>0</v>
      </c>
      <c r="L164" s="4">
        <v>0</v>
      </c>
      <c r="M164" s="5">
        <v>0.15849691531127313</v>
      </c>
      <c r="N164" s="5">
        <v>1</v>
      </c>
      <c r="O164" s="5">
        <v>0</v>
      </c>
      <c r="P164">
        <v>0</v>
      </c>
      <c r="Q164" s="1">
        <v>0</v>
      </c>
      <c r="R164">
        <v>0</v>
      </c>
      <c r="S164" s="1">
        <v>0</v>
      </c>
    </row>
    <row r="165" spans="1:19" x14ac:dyDescent="0.45">
      <c r="A165" t="s">
        <v>31</v>
      </c>
      <c r="B165" t="s">
        <v>32</v>
      </c>
      <c r="C165" t="s">
        <v>239</v>
      </c>
      <c r="D165" s="2">
        <v>12</v>
      </c>
      <c r="E165" s="2">
        <v>16</v>
      </c>
      <c r="F165" s="2">
        <v>859280</v>
      </c>
      <c r="G165" s="3">
        <v>0.15213892418466751</v>
      </c>
      <c r="H165" s="3">
        <v>1</v>
      </c>
      <c r="I165" s="3">
        <v>8.9086859688195987E-3</v>
      </c>
      <c r="J165" s="4">
        <v>11</v>
      </c>
      <c r="K165" s="4">
        <v>15</v>
      </c>
      <c r="L165" s="4">
        <v>781810</v>
      </c>
      <c r="M165" s="5">
        <v>0.15849691531127313</v>
      </c>
      <c r="N165" s="5">
        <v>1</v>
      </c>
      <c r="O165" s="5">
        <v>1.0615711252653927E-2</v>
      </c>
      <c r="P165">
        <v>-1</v>
      </c>
      <c r="Q165" s="1">
        <v>-6.25E-2</v>
      </c>
      <c r="R165">
        <v>-77470</v>
      </c>
      <c r="S165" s="1">
        <v>-9.0156875523694252E-2</v>
      </c>
    </row>
    <row r="166" spans="1:19" x14ac:dyDescent="0.45">
      <c r="A166" t="s">
        <v>31</v>
      </c>
      <c r="B166" t="s">
        <v>32</v>
      </c>
      <c r="C166" t="s">
        <v>240</v>
      </c>
      <c r="D166" s="2">
        <v>0</v>
      </c>
      <c r="E166" s="2">
        <v>0</v>
      </c>
      <c r="F166" s="2">
        <v>0</v>
      </c>
      <c r="G166" s="3">
        <v>0.15213892418466751</v>
      </c>
      <c r="H166" s="3">
        <v>1</v>
      </c>
      <c r="I166" s="3">
        <v>0</v>
      </c>
      <c r="J166" s="4">
        <v>1</v>
      </c>
      <c r="K166" s="4">
        <v>1</v>
      </c>
      <c r="L166" s="4">
        <v>417100</v>
      </c>
      <c r="M166" s="5">
        <v>0.15849691531127313</v>
      </c>
      <c r="N166" s="5">
        <v>1</v>
      </c>
      <c r="O166" s="5">
        <v>7.0771408351026188E-4</v>
      </c>
      <c r="P166">
        <v>1</v>
      </c>
      <c r="Q166" s="1">
        <v>1</v>
      </c>
      <c r="R166">
        <v>417100</v>
      </c>
      <c r="S166" s="1">
        <v>1</v>
      </c>
    </row>
    <row r="167" spans="1:19" x14ac:dyDescent="0.45">
      <c r="A167" t="s">
        <v>31</v>
      </c>
      <c r="B167" t="s">
        <v>32</v>
      </c>
      <c r="C167" t="s">
        <v>241</v>
      </c>
      <c r="D167" s="2">
        <v>350</v>
      </c>
      <c r="E167" s="2">
        <v>495</v>
      </c>
      <c r="F167" s="2">
        <v>2900595</v>
      </c>
      <c r="G167" s="3">
        <v>0.15213892418466751</v>
      </c>
      <c r="H167" s="3">
        <v>1</v>
      </c>
      <c r="I167" s="3">
        <v>0.27561247216035634</v>
      </c>
      <c r="J167" s="4">
        <v>305</v>
      </c>
      <c r="K167" s="4">
        <v>412</v>
      </c>
      <c r="L167" s="4">
        <v>2414690</v>
      </c>
      <c r="M167" s="5">
        <v>0.15849691531127313</v>
      </c>
      <c r="N167" s="5">
        <v>1</v>
      </c>
      <c r="O167" s="5">
        <v>0.29157820240622789</v>
      </c>
      <c r="P167">
        <v>-83</v>
      </c>
      <c r="Q167" s="1">
        <v>-0.16767676767676767</v>
      </c>
      <c r="R167">
        <v>-485905</v>
      </c>
      <c r="S167" s="1">
        <v>-0.16751907798227605</v>
      </c>
    </row>
    <row r="168" spans="1:19" x14ac:dyDescent="0.45">
      <c r="A168" t="s">
        <v>31</v>
      </c>
      <c r="B168" t="s">
        <v>32</v>
      </c>
      <c r="C168" t="s">
        <v>242</v>
      </c>
      <c r="D168" s="2">
        <v>60</v>
      </c>
      <c r="E168" s="2">
        <v>73</v>
      </c>
      <c r="F168" s="2">
        <v>925330</v>
      </c>
      <c r="G168" s="3">
        <v>0.15213892418466751</v>
      </c>
      <c r="H168" s="3">
        <v>1</v>
      </c>
      <c r="I168" s="3">
        <v>4.0645879732739421E-2</v>
      </c>
      <c r="J168" s="4">
        <v>49</v>
      </c>
      <c r="K168" s="4">
        <v>59</v>
      </c>
      <c r="L168" s="4">
        <v>746580</v>
      </c>
      <c r="M168" s="5">
        <v>0.15849691531127313</v>
      </c>
      <c r="N168" s="5">
        <v>1</v>
      </c>
      <c r="O168" s="5">
        <v>4.1755130927105449E-2</v>
      </c>
      <c r="P168">
        <v>-14</v>
      </c>
      <c r="Q168" s="1">
        <v>-0.19178082191780821</v>
      </c>
      <c r="R168">
        <v>-178750</v>
      </c>
      <c r="S168" s="1">
        <v>-0.19317432699685519</v>
      </c>
    </row>
    <row r="169" spans="1:19" x14ac:dyDescent="0.45">
      <c r="A169" t="s">
        <v>31</v>
      </c>
      <c r="B169" t="s">
        <v>32</v>
      </c>
      <c r="C169" t="s">
        <v>243</v>
      </c>
      <c r="D169" s="2">
        <v>111</v>
      </c>
      <c r="E169" s="2">
        <v>124</v>
      </c>
      <c r="F169" s="2">
        <v>2408640</v>
      </c>
      <c r="G169" s="3">
        <v>0.15213892418466751</v>
      </c>
      <c r="H169" s="3">
        <v>1</v>
      </c>
      <c r="I169" s="3">
        <v>6.9042316258351888E-2</v>
      </c>
      <c r="J169" s="4">
        <v>66</v>
      </c>
      <c r="K169" s="4">
        <v>82</v>
      </c>
      <c r="L169" s="4">
        <v>1600280</v>
      </c>
      <c r="M169" s="5">
        <v>0.15849691531127313</v>
      </c>
      <c r="N169" s="5">
        <v>1</v>
      </c>
      <c r="O169" s="5">
        <v>5.8032554847841471E-2</v>
      </c>
      <c r="P169">
        <v>-42</v>
      </c>
      <c r="Q169" s="1">
        <v>-0.33870967741935482</v>
      </c>
      <c r="R169">
        <v>-808360</v>
      </c>
      <c r="S169" s="1">
        <v>-0.3356084761525176</v>
      </c>
    </row>
    <row r="170" spans="1:19" x14ac:dyDescent="0.45">
      <c r="A170" t="s">
        <v>31</v>
      </c>
      <c r="B170" t="s">
        <v>32</v>
      </c>
      <c r="C170" t="s">
        <v>244</v>
      </c>
      <c r="D170" s="2">
        <v>34</v>
      </c>
      <c r="E170" s="2">
        <v>38</v>
      </c>
      <c r="F170" s="2">
        <v>1833420</v>
      </c>
      <c r="G170" s="3">
        <v>0.15213892418466751</v>
      </c>
      <c r="H170" s="3">
        <v>1</v>
      </c>
      <c r="I170" s="3">
        <v>2.1158129175946547E-2</v>
      </c>
      <c r="J170" s="4">
        <v>31</v>
      </c>
      <c r="K170" s="4">
        <v>35</v>
      </c>
      <c r="L170" s="4">
        <v>1686620</v>
      </c>
      <c r="M170" s="5">
        <v>0.15849691531127313</v>
      </c>
      <c r="N170" s="5">
        <v>1</v>
      </c>
      <c r="O170" s="5">
        <v>2.4769992922859165E-2</v>
      </c>
      <c r="P170">
        <v>-3</v>
      </c>
      <c r="Q170" s="1">
        <v>-7.8947368421052627E-2</v>
      </c>
      <c r="R170">
        <v>-146800</v>
      </c>
      <c r="S170" s="1">
        <v>-8.0068942195459847E-2</v>
      </c>
    </row>
    <row r="171" spans="1:19" x14ac:dyDescent="0.45">
      <c r="A171" t="s">
        <v>31</v>
      </c>
      <c r="B171" t="s">
        <v>32</v>
      </c>
      <c r="C171" t="s">
        <v>245</v>
      </c>
      <c r="D171" s="2">
        <v>15</v>
      </c>
      <c r="E171" s="2">
        <v>16</v>
      </c>
      <c r="F171" s="2">
        <v>455140</v>
      </c>
      <c r="G171" s="3">
        <v>0.15213892418466751</v>
      </c>
      <c r="H171" s="3">
        <v>1</v>
      </c>
      <c r="I171" s="3">
        <v>8.9086859688195987E-3</v>
      </c>
      <c r="J171" s="4">
        <v>6</v>
      </c>
      <c r="K171" s="4">
        <v>6</v>
      </c>
      <c r="L171" s="4">
        <v>172510</v>
      </c>
      <c r="M171" s="5">
        <v>0.15849691531127313</v>
      </c>
      <c r="N171" s="5">
        <v>1</v>
      </c>
      <c r="O171" s="5">
        <v>4.246284501061571E-3</v>
      </c>
      <c r="P171">
        <v>-10</v>
      </c>
      <c r="Q171" s="1">
        <v>-0.625</v>
      </c>
      <c r="R171">
        <v>-282630</v>
      </c>
      <c r="S171" s="1">
        <v>-0.62097376631366175</v>
      </c>
    </row>
    <row r="172" spans="1:19" x14ac:dyDescent="0.45">
      <c r="A172" t="s">
        <v>31</v>
      </c>
      <c r="B172" t="s">
        <v>32</v>
      </c>
      <c r="C172" t="s">
        <v>246</v>
      </c>
      <c r="D172" s="2">
        <v>15</v>
      </c>
      <c r="E172" s="2">
        <v>23</v>
      </c>
      <c r="F172" s="2">
        <v>248300</v>
      </c>
      <c r="G172" s="3">
        <v>0.15213892418466751</v>
      </c>
      <c r="H172" s="3">
        <v>1</v>
      </c>
      <c r="I172" s="3">
        <v>1.2806236080178173E-2</v>
      </c>
      <c r="J172" s="4">
        <v>4</v>
      </c>
      <c r="K172" s="4">
        <v>5</v>
      </c>
      <c r="L172" s="4">
        <v>58060</v>
      </c>
      <c r="M172" s="5">
        <v>0.15849691531127313</v>
      </c>
      <c r="N172" s="5">
        <v>1</v>
      </c>
      <c r="O172" s="5">
        <v>3.5385704175513091E-3</v>
      </c>
      <c r="P172">
        <v>-18</v>
      </c>
      <c r="Q172" s="1">
        <v>-0.78260869565217395</v>
      </c>
      <c r="R172">
        <v>-190240</v>
      </c>
      <c r="S172" s="1">
        <v>-0.76616995569875146</v>
      </c>
    </row>
    <row r="173" spans="1:19" x14ac:dyDescent="0.45">
      <c r="A173" t="s">
        <v>31</v>
      </c>
      <c r="B173" t="s">
        <v>32</v>
      </c>
      <c r="C173" t="s">
        <v>247</v>
      </c>
      <c r="D173" s="2">
        <v>93</v>
      </c>
      <c r="E173" s="2">
        <v>100</v>
      </c>
      <c r="F173" s="2">
        <v>2400525</v>
      </c>
      <c r="G173" s="3">
        <v>0.15213892418466751</v>
      </c>
      <c r="H173" s="3">
        <v>1</v>
      </c>
      <c r="I173" s="3">
        <v>5.5679287305122498E-2</v>
      </c>
      <c r="J173" s="4">
        <v>35</v>
      </c>
      <c r="K173" s="4">
        <v>38</v>
      </c>
      <c r="L173" s="4">
        <v>913620</v>
      </c>
      <c r="M173" s="5">
        <v>0.15849691531127313</v>
      </c>
      <c r="N173" s="5">
        <v>1</v>
      </c>
      <c r="O173" s="5">
        <v>2.689313517338995E-2</v>
      </c>
      <c r="P173">
        <v>-62</v>
      </c>
      <c r="Q173" s="1">
        <v>-0.62</v>
      </c>
      <c r="R173">
        <v>-1486905</v>
      </c>
      <c r="S173" s="1">
        <v>-0.61940825444434033</v>
      </c>
    </row>
    <row r="174" spans="1:19" x14ac:dyDescent="0.45">
      <c r="A174" t="s">
        <v>31</v>
      </c>
      <c r="B174" t="s">
        <v>32</v>
      </c>
      <c r="C174" t="s">
        <v>248</v>
      </c>
      <c r="D174" s="2">
        <v>98</v>
      </c>
      <c r="E174" s="2">
        <v>120</v>
      </c>
      <c r="F174" s="2">
        <v>1397630</v>
      </c>
      <c r="G174" s="3">
        <v>0.15213892418466751</v>
      </c>
      <c r="H174" s="3">
        <v>1</v>
      </c>
      <c r="I174" s="3">
        <v>6.6815144766147E-2</v>
      </c>
      <c r="J174" s="4">
        <v>45</v>
      </c>
      <c r="K174" s="4">
        <v>52</v>
      </c>
      <c r="L174" s="4">
        <v>610780</v>
      </c>
      <c r="M174" s="5">
        <v>0.15849691531127313</v>
      </c>
      <c r="N174" s="5">
        <v>1</v>
      </c>
      <c r="O174" s="5">
        <v>3.680113234253362E-2</v>
      </c>
      <c r="P174">
        <v>-68</v>
      </c>
      <c r="Q174" s="1">
        <v>-0.56666666666666665</v>
      </c>
      <c r="R174">
        <v>-786850</v>
      </c>
      <c r="S174" s="1">
        <v>-0.56298877385287949</v>
      </c>
    </row>
    <row r="175" spans="1:19" x14ac:dyDescent="0.45">
      <c r="A175" t="s">
        <v>31</v>
      </c>
      <c r="B175" t="s">
        <v>32</v>
      </c>
      <c r="C175" t="s">
        <v>249</v>
      </c>
      <c r="D175" s="2">
        <v>64</v>
      </c>
      <c r="E175" s="2">
        <v>85</v>
      </c>
      <c r="F175" s="2">
        <v>609520</v>
      </c>
      <c r="G175" s="3">
        <v>0.15213892418466751</v>
      </c>
      <c r="H175" s="3">
        <v>1</v>
      </c>
      <c r="I175" s="3">
        <v>4.7327394209354119E-2</v>
      </c>
      <c r="J175" s="4">
        <v>35</v>
      </c>
      <c r="K175" s="4">
        <v>51</v>
      </c>
      <c r="L175" s="4">
        <v>370405</v>
      </c>
      <c r="M175" s="5">
        <v>0.15849691531127313</v>
      </c>
      <c r="N175" s="5">
        <v>1</v>
      </c>
      <c r="O175" s="5">
        <v>3.6093418259023353E-2</v>
      </c>
      <c r="P175">
        <v>-34</v>
      </c>
      <c r="Q175" s="1">
        <v>-0.4</v>
      </c>
      <c r="R175">
        <v>-239115</v>
      </c>
      <c r="S175" s="1">
        <v>-0.39230049875311723</v>
      </c>
    </row>
    <row r="176" spans="1:19" x14ac:dyDescent="0.45">
      <c r="A176" t="s">
        <v>31</v>
      </c>
      <c r="B176" t="s">
        <v>32</v>
      </c>
      <c r="C176" t="s">
        <v>250</v>
      </c>
      <c r="D176" s="2">
        <v>3</v>
      </c>
      <c r="E176" s="2">
        <v>3</v>
      </c>
      <c r="F176" s="2">
        <v>29070</v>
      </c>
      <c r="G176" s="3">
        <v>0.15213892418466751</v>
      </c>
      <c r="H176" s="3">
        <v>1</v>
      </c>
      <c r="I176" s="3">
        <v>1.6703786191536749E-3</v>
      </c>
      <c r="J176" s="4">
        <v>4</v>
      </c>
      <c r="K176" s="4">
        <v>5</v>
      </c>
      <c r="L176" s="4">
        <v>49390</v>
      </c>
      <c r="M176" s="5">
        <v>0.15849691531127313</v>
      </c>
      <c r="N176" s="5">
        <v>1</v>
      </c>
      <c r="O176" s="5">
        <v>3.5385704175513091E-3</v>
      </c>
      <c r="P176">
        <v>2</v>
      </c>
      <c r="Q176" s="1">
        <v>0.66666666666666663</v>
      </c>
      <c r="R176">
        <v>20320</v>
      </c>
      <c r="S176" s="1">
        <v>0.69900240798073621</v>
      </c>
    </row>
    <row r="177" spans="1:19" x14ac:dyDescent="0.45">
      <c r="A177" t="s">
        <v>31</v>
      </c>
      <c r="B177" t="s">
        <v>32</v>
      </c>
      <c r="C177" t="s">
        <v>251</v>
      </c>
      <c r="D177" s="2">
        <v>44</v>
      </c>
      <c r="E177" s="2">
        <v>81</v>
      </c>
      <c r="F177" s="2">
        <v>947420</v>
      </c>
      <c r="G177" s="3">
        <v>0.15213892418466751</v>
      </c>
      <c r="H177" s="3">
        <v>1</v>
      </c>
      <c r="I177" s="3">
        <v>4.5100222717149217E-2</v>
      </c>
      <c r="J177" s="4">
        <v>55</v>
      </c>
      <c r="K177" s="4">
        <v>103</v>
      </c>
      <c r="L177" s="4">
        <v>1196950</v>
      </c>
      <c r="M177" s="5">
        <v>0.15849691531127313</v>
      </c>
      <c r="N177" s="5">
        <v>1</v>
      </c>
      <c r="O177" s="5">
        <v>7.2894550601556973E-2</v>
      </c>
      <c r="P177">
        <v>22</v>
      </c>
      <c r="Q177" s="1">
        <v>0.27160493827160492</v>
      </c>
      <c r="R177">
        <v>249530</v>
      </c>
      <c r="S177" s="1">
        <v>0.26337843828502672</v>
      </c>
    </row>
    <row r="178" spans="1:19" x14ac:dyDescent="0.45">
      <c r="A178" t="s">
        <v>31</v>
      </c>
      <c r="B178" t="s">
        <v>32</v>
      </c>
      <c r="C178" t="s">
        <v>252</v>
      </c>
      <c r="D178" s="2">
        <v>23</v>
      </c>
      <c r="E178" s="2">
        <v>43</v>
      </c>
      <c r="F178" s="2">
        <v>1662590</v>
      </c>
      <c r="G178" s="3">
        <v>0.15213892418466751</v>
      </c>
      <c r="H178" s="3">
        <v>1</v>
      </c>
      <c r="I178" s="3">
        <v>2.3942093541202674E-2</v>
      </c>
      <c r="J178" s="4">
        <v>19</v>
      </c>
      <c r="K178" s="4">
        <v>20</v>
      </c>
      <c r="L178" s="4">
        <v>781190</v>
      </c>
      <c r="M178" s="5">
        <v>0.15849691531127313</v>
      </c>
      <c r="N178" s="5">
        <v>1</v>
      </c>
      <c r="O178" s="5">
        <v>1.4154281670205236E-2</v>
      </c>
      <c r="P178">
        <v>-23</v>
      </c>
      <c r="Q178" s="1">
        <v>-0.53488372093023251</v>
      </c>
      <c r="R178">
        <v>-881400</v>
      </c>
      <c r="S178" s="1">
        <v>-0.5301367144034308</v>
      </c>
    </row>
    <row r="179" spans="1:19" x14ac:dyDescent="0.45">
      <c r="A179" t="s">
        <v>31</v>
      </c>
      <c r="B179" t="s">
        <v>32</v>
      </c>
      <c r="C179" t="s">
        <v>253</v>
      </c>
      <c r="D179" s="2">
        <v>0</v>
      </c>
      <c r="E179" s="2">
        <v>-1</v>
      </c>
      <c r="F179" s="2">
        <v>-10400</v>
      </c>
      <c r="G179" s="3">
        <v>0.15213892418466751</v>
      </c>
      <c r="H179" s="3">
        <v>1</v>
      </c>
      <c r="I179" s="3">
        <v>-5.5679287305122492E-4</v>
      </c>
      <c r="J179" s="4">
        <v>2</v>
      </c>
      <c r="K179" s="4">
        <v>3</v>
      </c>
      <c r="L179" s="4">
        <v>28800</v>
      </c>
      <c r="M179" s="5">
        <v>0.15849691531127313</v>
      </c>
      <c r="N179" s="5">
        <v>1</v>
      </c>
      <c r="O179" s="5">
        <v>2.1231422505307855E-3</v>
      </c>
      <c r="P179">
        <v>4</v>
      </c>
      <c r="Q179" s="1">
        <v>-4</v>
      </c>
      <c r="R179">
        <v>39200</v>
      </c>
      <c r="S179" s="1">
        <v>-3.7692307692307692</v>
      </c>
    </row>
    <row r="180" spans="1:19" x14ac:dyDescent="0.45">
      <c r="A180" t="s">
        <v>31</v>
      </c>
      <c r="B180" t="s">
        <v>32</v>
      </c>
      <c r="C180" t="s">
        <v>254</v>
      </c>
      <c r="D180" s="2">
        <v>13</v>
      </c>
      <c r="E180" s="2">
        <v>14</v>
      </c>
      <c r="F180" s="2">
        <v>136200</v>
      </c>
      <c r="G180" s="3">
        <v>0.15213892418466751</v>
      </c>
      <c r="H180" s="3">
        <v>1</v>
      </c>
      <c r="I180" s="3">
        <v>7.7951002227171495E-3</v>
      </c>
      <c r="J180" s="4">
        <v>9</v>
      </c>
      <c r="K180" s="4">
        <v>9</v>
      </c>
      <c r="L180" s="4">
        <v>80720</v>
      </c>
      <c r="M180" s="5">
        <v>0.15849691531127313</v>
      </c>
      <c r="N180" s="5">
        <v>1</v>
      </c>
      <c r="O180" s="5">
        <v>6.369426751592357E-3</v>
      </c>
      <c r="P180">
        <v>-5</v>
      </c>
      <c r="Q180" s="1">
        <v>-0.35714285714285715</v>
      </c>
      <c r="R180">
        <v>-55480</v>
      </c>
      <c r="S180" s="1">
        <v>-0.40734214390602058</v>
      </c>
    </row>
    <row r="181" spans="1:19" x14ac:dyDescent="0.45">
      <c r="A181" t="s">
        <v>31</v>
      </c>
      <c r="B181" t="s">
        <v>32</v>
      </c>
      <c r="C181" t="s">
        <v>255</v>
      </c>
      <c r="D181" s="2">
        <v>3</v>
      </c>
      <c r="E181" s="2">
        <v>3</v>
      </c>
      <c r="F181" s="2">
        <v>29400</v>
      </c>
      <c r="G181" s="3">
        <v>0.15213892418466751</v>
      </c>
      <c r="H181" s="3">
        <v>1</v>
      </c>
      <c r="I181" s="3">
        <v>1.6703786191536749E-3</v>
      </c>
      <c r="J181" s="4">
        <v>7</v>
      </c>
      <c r="K181" s="4">
        <v>8</v>
      </c>
      <c r="L181" s="4">
        <v>77400</v>
      </c>
      <c r="M181" s="5">
        <v>0.15849691531127313</v>
      </c>
      <c r="N181" s="5">
        <v>1</v>
      </c>
      <c r="O181" s="5">
        <v>5.661712668082095E-3</v>
      </c>
      <c r="P181">
        <v>5</v>
      </c>
      <c r="Q181" s="1">
        <v>1.6666666666666667</v>
      </c>
      <c r="R181">
        <v>48000</v>
      </c>
      <c r="S181" s="1">
        <v>1.6326530612244898</v>
      </c>
    </row>
    <row r="182" spans="1:19" x14ac:dyDescent="0.45">
      <c r="A182" t="s">
        <v>31</v>
      </c>
      <c r="B182" t="s">
        <v>32</v>
      </c>
      <c r="C182" t="s">
        <v>256</v>
      </c>
      <c r="D182" s="2">
        <v>13</v>
      </c>
      <c r="E182" s="2">
        <v>14</v>
      </c>
      <c r="F182" s="2">
        <v>137100</v>
      </c>
      <c r="G182" s="3">
        <v>0.15213892418466751</v>
      </c>
      <c r="H182" s="3">
        <v>1</v>
      </c>
      <c r="I182" s="3">
        <v>7.7951002227171495E-3</v>
      </c>
      <c r="J182" s="4">
        <v>15</v>
      </c>
      <c r="K182" s="4">
        <v>17</v>
      </c>
      <c r="L182" s="4">
        <v>166800</v>
      </c>
      <c r="M182" s="5">
        <v>0.15849691531127313</v>
      </c>
      <c r="N182" s="5">
        <v>1</v>
      </c>
      <c r="O182" s="5">
        <v>1.2031139419674451E-2</v>
      </c>
      <c r="P182">
        <v>3</v>
      </c>
      <c r="Q182" s="1">
        <v>0.21428571428571427</v>
      </c>
      <c r="R182">
        <v>29700</v>
      </c>
      <c r="S182" s="1">
        <v>0.21663019693654267</v>
      </c>
    </row>
    <row r="183" spans="1:19" x14ac:dyDescent="0.45">
      <c r="A183" t="s">
        <v>31</v>
      </c>
      <c r="B183" t="s">
        <v>32</v>
      </c>
      <c r="C183" t="s">
        <v>257</v>
      </c>
      <c r="D183" s="2">
        <v>0</v>
      </c>
      <c r="E183" s="2">
        <v>0</v>
      </c>
      <c r="F183" s="2">
        <v>0</v>
      </c>
      <c r="G183" s="3">
        <v>0.15213892418466751</v>
      </c>
      <c r="H183" s="3">
        <v>1</v>
      </c>
      <c r="I183" s="3">
        <v>0</v>
      </c>
      <c r="J183" s="4">
        <v>0</v>
      </c>
      <c r="K183" s="4">
        <v>0</v>
      </c>
      <c r="L183" s="4">
        <v>0</v>
      </c>
      <c r="M183" s="5">
        <v>0.15849691531127313</v>
      </c>
      <c r="N183" s="5">
        <v>1</v>
      </c>
      <c r="O183" s="5">
        <v>0</v>
      </c>
      <c r="P183">
        <v>0</v>
      </c>
      <c r="Q183" s="1">
        <v>0</v>
      </c>
      <c r="R183">
        <v>0</v>
      </c>
      <c r="S183" s="1">
        <v>0</v>
      </c>
    </row>
    <row r="184" spans="1:19" x14ac:dyDescent="0.45">
      <c r="A184" t="s">
        <v>31</v>
      </c>
      <c r="B184" t="s">
        <v>32</v>
      </c>
      <c r="C184" t="s">
        <v>258</v>
      </c>
      <c r="D184" s="2">
        <v>2</v>
      </c>
      <c r="E184" s="2">
        <v>2</v>
      </c>
      <c r="F184" s="2">
        <v>19690</v>
      </c>
      <c r="G184" s="3">
        <v>0.15213892418466751</v>
      </c>
      <c r="H184" s="3">
        <v>1</v>
      </c>
      <c r="I184" s="3">
        <v>1.1135857461024498E-3</v>
      </c>
      <c r="J184" s="4">
        <v>4</v>
      </c>
      <c r="K184" s="4">
        <v>4</v>
      </c>
      <c r="L184" s="4">
        <v>39090</v>
      </c>
      <c r="M184" s="5">
        <v>0.15849691531127313</v>
      </c>
      <c r="N184" s="5">
        <v>1</v>
      </c>
      <c r="O184" s="5">
        <v>2.8308563340410475E-3</v>
      </c>
      <c r="P184">
        <v>2</v>
      </c>
      <c r="Q184" s="1">
        <v>1</v>
      </c>
      <c r="R184">
        <v>19400</v>
      </c>
      <c r="S184" s="1">
        <v>0.98527171152869475</v>
      </c>
    </row>
    <row r="185" spans="1:19" x14ac:dyDescent="0.45">
      <c r="A185" t="s">
        <v>31</v>
      </c>
      <c r="B185" t="s">
        <v>32</v>
      </c>
      <c r="C185" t="s">
        <v>259</v>
      </c>
      <c r="D185" s="2">
        <v>21</v>
      </c>
      <c r="E185" s="2">
        <v>26</v>
      </c>
      <c r="F185" s="2">
        <v>328810</v>
      </c>
      <c r="G185" s="3">
        <v>0.15213892418466751</v>
      </c>
      <c r="H185" s="3">
        <v>1</v>
      </c>
      <c r="I185" s="3">
        <v>1.4476614699331848E-2</v>
      </c>
      <c r="J185" s="4">
        <v>22</v>
      </c>
      <c r="K185" s="4">
        <v>26</v>
      </c>
      <c r="L185" s="4">
        <v>330910</v>
      </c>
      <c r="M185" s="5">
        <v>0.15849691531127313</v>
      </c>
      <c r="N185" s="5">
        <v>1</v>
      </c>
      <c r="O185" s="5">
        <v>1.840056617126681E-2</v>
      </c>
      <c r="P185">
        <v>0</v>
      </c>
      <c r="Q185" s="1">
        <v>0</v>
      </c>
      <c r="R185">
        <v>2100</v>
      </c>
      <c r="S185" s="1">
        <v>6.3866670721693377E-3</v>
      </c>
    </row>
    <row r="186" spans="1:19" x14ac:dyDescent="0.45">
      <c r="A186" t="s">
        <v>31</v>
      </c>
      <c r="B186" t="s">
        <v>32</v>
      </c>
      <c r="C186" t="s">
        <v>260</v>
      </c>
      <c r="D186" s="2">
        <v>4</v>
      </c>
      <c r="E186" s="2">
        <v>4</v>
      </c>
      <c r="F186" s="2">
        <v>127030</v>
      </c>
      <c r="G186" s="3">
        <v>0.15213892418466751</v>
      </c>
      <c r="H186" s="3">
        <v>1</v>
      </c>
      <c r="I186" s="3">
        <v>2.2271714922048997E-3</v>
      </c>
      <c r="J186" s="4">
        <v>5</v>
      </c>
      <c r="K186" s="4">
        <v>5</v>
      </c>
      <c r="L186" s="4">
        <v>158710</v>
      </c>
      <c r="M186" s="5">
        <v>0.15849691531127313</v>
      </c>
      <c r="N186" s="5">
        <v>1</v>
      </c>
      <c r="O186" s="5">
        <v>3.5385704175513091E-3</v>
      </c>
      <c r="P186">
        <v>1</v>
      </c>
      <c r="Q186" s="1">
        <v>0.25</v>
      </c>
      <c r="R186">
        <v>31680</v>
      </c>
      <c r="S186" s="1">
        <v>0.24938990789577264</v>
      </c>
    </row>
    <row r="187" spans="1:19" x14ac:dyDescent="0.45">
      <c r="A187" t="s">
        <v>31</v>
      </c>
      <c r="B187" t="s">
        <v>32</v>
      </c>
      <c r="C187" t="s">
        <v>261</v>
      </c>
      <c r="D187" s="2">
        <v>76</v>
      </c>
      <c r="E187" s="2">
        <v>85</v>
      </c>
      <c r="F187" s="2">
        <v>2481530</v>
      </c>
      <c r="G187" s="3">
        <v>0.15213892418466751</v>
      </c>
      <c r="H187" s="3">
        <v>1</v>
      </c>
      <c r="I187" s="3">
        <v>4.7327394209354119E-2</v>
      </c>
      <c r="J187" s="4">
        <v>59</v>
      </c>
      <c r="K187" s="4">
        <v>63</v>
      </c>
      <c r="L187" s="4">
        <v>1787670</v>
      </c>
      <c r="M187" s="5">
        <v>0.15849691531127313</v>
      </c>
      <c r="N187" s="5">
        <v>1</v>
      </c>
      <c r="O187" s="5">
        <v>4.4585987261146494E-2</v>
      </c>
      <c r="P187">
        <v>-22</v>
      </c>
      <c r="Q187" s="1">
        <v>-0.25882352941176473</v>
      </c>
      <c r="R187">
        <v>-693860</v>
      </c>
      <c r="S187" s="1">
        <v>-0.27960975688385792</v>
      </c>
    </row>
    <row r="188" spans="1:19" x14ac:dyDescent="0.45">
      <c r="A188" t="s">
        <v>31</v>
      </c>
      <c r="B188" t="s">
        <v>32</v>
      </c>
      <c r="C188" t="s">
        <v>262</v>
      </c>
      <c r="D188" s="2">
        <v>76</v>
      </c>
      <c r="E188" s="2">
        <v>84</v>
      </c>
      <c r="F188" s="2">
        <v>4737760</v>
      </c>
      <c r="G188" s="3">
        <v>0.15213892418466751</v>
      </c>
      <c r="H188" s="3">
        <v>1</v>
      </c>
      <c r="I188" s="3">
        <v>4.6770601336302897E-2</v>
      </c>
      <c r="J188" s="4">
        <v>74</v>
      </c>
      <c r="K188" s="4">
        <v>94</v>
      </c>
      <c r="L188" s="4">
        <v>5325470</v>
      </c>
      <c r="M188" s="5">
        <v>0.15849691531127313</v>
      </c>
      <c r="N188" s="5">
        <v>1</v>
      </c>
      <c r="O188" s="5">
        <v>6.6525123849964618E-2</v>
      </c>
      <c r="P188">
        <v>10</v>
      </c>
      <c r="Q188" s="1">
        <v>0.11904761904761904</v>
      </c>
      <c r="R188">
        <v>587710</v>
      </c>
      <c r="S188" s="1">
        <v>0.12404807335111952</v>
      </c>
    </row>
    <row r="189" spans="1:19" x14ac:dyDescent="0.45">
      <c r="A189" t="s">
        <v>31</v>
      </c>
      <c r="B189" t="s">
        <v>32</v>
      </c>
      <c r="C189" t="s">
        <v>263</v>
      </c>
      <c r="D189" s="2">
        <v>6</v>
      </c>
      <c r="E189" s="2">
        <v>7</v>
      </c>
      <c r="F189" s="2">
        <v>104560</v>
      </c>
      <c r="G189" s="3">
        <v>0.15213892418466751</v>
      </c>
      <c r="H189" s="3">
        <v>1</v>
      </c>
      <c r="I189" s="3">
        <v>3.8975501113585748E-3</v>
      </c>
      <c r="J189" s="4">
        <v>3</v>
      </c>
      <c r="K189" s="4">
        <v>3</v>
      </c>
      <c r="L189" s="4">
        <v>48480</v>
      </c>
      <c r="M189" s="5">
        <v>0.15849691531127313</v>
      </c>
      <c r="N189" s="5">
        <v>1</v>
      </c>
      <c r="O189" s="5">
        <v>2.1231422505307855E-3</v>
      </c>
      <c r="P189">
        <v>-4</v>
      </c>
      <c r="Q189" s="1">
        <v>-0.5714285714285714</v>
      </c>
      <c r="R189">
        <v>-56080</v>
      </c>
      <c r="S189" s="1">
        <v>-0.53634276970160677</v>
      </c>
    </row>
    <row r="190" spans="1:19" x14ac:dyDescent="0.45">
      <c r="A190" t="s">
        <v>31</v>
      </c>
      <c r="B190" t="s">
        <v>32</v>
      </c>
      <c r="C190" t="s">
        <v>264</v>
      </c>
      <c r="D190" s="2">
        <v>14</v>
      </c>
      <c r="E190" s="2">
        <v>17</v>
      </c>
      <c r="F190" s="2">
        <v>201060</v>
      </c>
      <c r="G190" s="3">
        <v>0.15213892418466751</v>
      </c>
      <c r="H190" s="3">
        <v>1</v>
      </c>
      <c r="I190" s="3">
        <v>9.4654788418708242E-3</v>
      </c>
      <c r="J190" s="4">
        <v>3</v>
      </c>
      <c r="K190" s="4">
        <v>3</v>
      </c>
      <c r="L190" s="4">
        <v>34900</v>
      </c>
      <c r="M190" s="5">
        <v>0.15849691531127313</v>
      </c>
      <c r="N190" s="5">
        <v>1</v>
      </c>
      <c r="O190" s="5">
        <v>2.1231422505307855E-3</v>
      </c>
      <c r="P190">
        <v>-14</v>
      </c>
      <c r="Q190" s="1">
        <v>-0.82352941176470584</v>
      </c>
      <c r="R190">
        <v>-166160</v>
      </c>
      <c r="S190" s="1">
        <v>-0.82641997413707347</v>
      </c>
    </row>
    <row r="191" spans="1:19" x14ac:dyDescent="0.45">
      <c r="A191" t="s">
        <v>31</v>
      </c>
      <c r="B191" t="s">
        <v>32</v>
      </c>
      <c r="C191" t="s">
        <v>265</v>
      </c>
      <c r="D191" s="2">
        <v>21</v>
      </c>
      <c r="E191" s="2">
        <v>47</v>
      </c>
      <c r="F191" s="2">
        <v>1325830</v>
      </c>
      <c r="G191" s="3">
        <v>0.15213892418466751</v>
      </c>
      <c r="H191" s="3">
        <v>1</v>
      </c>
      <c r="I191" s="3">
        <v>2.6169265033407572E-2</v>
      </c>
      <c r="J191" s="4">
        <v>16</v>
      </c>
      <c r="K191" s="4">
        <v>34</v>
      </c>
      <c r="L191" s="4">
        <v>930240</v>
      </c>
      <c r="M191" s="5">
        <v>0.15849691531127313</v>
      </c>
      <c r="N191" s="5">
        <v>1</v>
      </c>
      <c r="O191" s="5">
        <v>2.4062278839348902E-2</v>
      </c>
      <c r="P191">
        <v>-13</v>
      </c>
      <c r="Q191" s="1">
        <v>-0.27659574468085107</v>
      </c>
      <c r="R191">
        <v>-395590</v>
      </c>
      <c r="S191" s="1">
        <v>-0.29837158610078213</v>
      </c>
    </row>
    <row r="192" spans="1:19" x14ac:dyDescent="0.45">
      <c r="A192" t="s">
        <v>31</v>
      </c>
      <c r="B192" t="s">
        <v>32</v>
      </c>
      <c r="C192" t="s">
        <v>266</v>
      </c>
      <c r="D192" s="2">
        <v>34</v>
      </c>
      <c r="E192" s="2">
        <v>53</v>
      </c>
      <c r="F192" s="2">
        <v>364610</v>
      </c>
      <c r="G192" s="3">
        <v>0.15213892418466751</v>
      </c>
      <c r="H192" s="3">
        <v>1</v>
      </c>
      <c r="I192" s="3">
        <v>2.9510022271714922E-2</v>
      </c>
      <c r="J192" s="4">
        <v>56</v>
      </c>
      <c r="K192" s="4">
        <v>91</v>
      </c>
      <c r="L192" s="4">
        <v>625770</v>
      </c>
      <c r="M192" s="5">
        <v>0.15849691531127313</v>
      </c>
      <c r="N192" s="5">
        <v>1</v>
      </c>
      <c r="O192" s="5">
        <v>6.4401981599433833E-2</v>
      </c>
      <c r="P192">
        <v>38</v>
      </c>
      <c r="Q192" s="1">
        <v>0.71698113207547165</v>
      </c>
      <c r="R192">
        <v>261160</v>
      </c>
      <c r="S192" s="1">
        <v>0.71627218123474401</v>
      </c>
    </row>
    <row r="193" spans="1:19" x14ac:dyDescent="0.45">
      <c r="A193" t="s">
        <v>31</v>
      </c>
      <c r="B193" t="s">
        <v>32</v>
      </c>
      <c r="C193" t="s">
        <v>267</v>
      </c>
      <c r="D193" s="2">
        <v>41</v>
      </c>
      <c r="E193" s="2">
        <v>52</v>
      </c>
      <c r="F193" s="2">
        <v>610220</v>
      </c>
      <c r="G193" s="3">
        <v>0.15213892418466751</v>
      </c>
      <c r="H193" s="3">
        <v>1</v>
      </c>
      <c r="I193" s="3">
        <v>2.8953229398663696E-2</v>
      </c>
      <c r="J193" s="4">
        <v>17</v>
      </c>
      <c r="K193" s="4">
        <v>22</v>
      </c>
      <c r="L193" s="4">
        <v>259150</v>
      </c>
      <c r="M193" s="5">
        <v>0.15849691531127313</v>
      </c>
      <c r="N193" s="5">
        <v>1</v>
      </c>
      <c r="O193" s="5">
        <v>1.556970983722576E-2</v>
      </c>
      <c r="P193">
        <v>-30</v>
      </c>
      <c r="Q193" s="1">
        <v>-0.57692307692307687</v>
      </c>
      <c r="R193">
        <v>-351070</v>
      </c>
      <c r="S193" s="1">
        <v>-0.57531709875127002</v>
      </c>
    </row>
    <row r="194" spans="1:19" x14ac:dyDescent="0.45">
      <c r="A194" t="s">
        <v>31</v>
      </c>
      <c r="B194" t="s">
        <v>32</v>
      </c>
      <c r="C194" t="s">
        <v>268</v>
      </c>
      <c r="D194" s="2">
        <v>31</v>
      </c>
      <c r="E194" s="2">
        <v>63</v>
      </c>
      <c r="F194" s="2">
        <v>1312750</v>
      </c>
      <c r="G194" s="3">
        <v>0.15213892418466751</v>
      </c>
      <c r="H194" s="3">
        <v>1</v>
      </c>
      <c r="I194" s="3">
        <v>3.5077951002227173E-2</v>
      </c>
      <c r="J194" s="4">
        <v>28</v>
      </c>
      <c r="K194" s="4">
        <v>49</v>
      </c>
      <c r="L194" s="4">
        <v>1048950</v>
      </c>
      <c r="M194" s="5">
        <v>0.15849691531127313</v>
      </c>
      <c r="N194" s="5">
        <v>1</v>
      </c>
      <c r="O194" s="5">
        <v>3.4677990092002828E-2</v>
      </c>
      <c r="P194">
        <v>-14</v>
      </c>
      <c r="Q194" s="1">
        <v>-0.22222222222222221</v>
      </c>
      <c r="R194">
        <v>-263800</v>
      </c>
      <c r="S194" s="1">
        <v>-0.20095219958103219</v>
      </c>
    </row>
    <row r="195" spans="1:19" x14ac:dyDescent="0.45">
      <c r="A195" t="s">
        <v>31</v>
      </c>
      <c r="B195" t="s">
        <v>32</v>
      </c>
      <c r="C195" t="s">
        <v>269</v>
      </c>
      <c r="D195" s="2">
        <v>44</v>
      </c>
      <c r="E195" s="2">
        <v>54</v>
      </c>
      <c r="F195" s="2">
        <v>629310</v>
      </c>
      <c r="G195" s="3">
        <v>0.15213892418466751</v>
      </c>
      <c r="H195" s="3">
        <v>1</v>
      </c>
      <c r="I195" s="3">
        <v>3.0066815144766147E-2</v>
      </c>
      <c r="J195" s="4">
        <v>27</v>
      </c>
      <c r="K195" s="4">
        <v>48</v>
      </c>
      <c r="L195" s="4">
        <v>561870</v>
      </c>
      <c r="M195" s="5">
        <v>0.15849691531127313</v>
      </c>
      <c r="N195" s="5">
        <v>1</v>
      </c>
      <c r="O195" s="5">
        <v>3.3970276008492568E-2</v>
      </c>
      <c r="P195">
        <v>-6</v>
      </c>
      <c r="Q195" s="1">
        <v>-0.1111111111111111</v>
      </c>
      <c r="R195">
        <v>-67440</v>
      </c>
      <c r="S195" s="1">
        <v>-0.1071649902273919</v>
      </c>
    </row>
    <row r="196" spans="1:19" x14ac:dyDescent="0.45">
      <c r="A196" t="s">
        <v>31</v>
      </c>
      <c r="B196" t="s">
        <v>32</v>
      </c>
      <c r="C196" t="s">
        <v>270</v>
      </c>
      <c r="D196" s="2">
        <v>6</v>
      </c>
      <c r="E196" s="2">
        <v>6</v>
      </c>
      <c r="F196" s="2">
        <v>539330</v>
      </c>
      <c r="G196" s="3">
        <v>0.15213892418466751</v>
      </c>
      <c r="H196" s="3">
        <v>1</v>
      </c>
      <c r="I196" s="3">
        <v>3.3407572383073497E-3</v>
      </c>
      <c r="J196" s="4">
        <v>4</v>
      </c>
      <c r="K196" s="4">
        <v>4</v>
      </c>
      <c r="L196" s="4">
        <v>381200</v>
      </c>
      <c r="M196" s="5">
        <v>0.15849691531127313</v>
      </c>
      <c r="N196" s="5">
        <v>1</v>
      </c>
      <c r="O196" s="5">
        <v>2.8308563340410475E-3</v>
      </c>
      <c r="P196">
        <v>-2</v>
      </c>
      <c r="Q196" s="1">
        <v>-0.33333333333333331</v>
      </c>
      <c r="R196">
        <v>-158130</v>
      </c>
      <c r="S196" s="1">
        <v>-0.29319711493890566</v>
      </c>
    </row>
    <row r="197" spans="1:19" x14ac:dyDescent="0.45">
      <c r="A197" t="s">
        <v>33</v>
      </c>
      <c r="B197" t="s">
        <v>34</v>
      </c>
      <c r="C197" t="s">
        <v>271</v>
      </c>
      <c r="D197" s="2">
        <v>3</v>
      </c>
      <c r="E197" s="2">
        <v>3</v>
      </c>
      <c r="F197" s="2">
        <v>323030</v>
      </c>
      <c r="G197" s="3">
        <v>2.8801355357899194E-2</v>
      </c>
      <c r="H197" s="3">
        <v>1.4705882352941176E-2</v>
      </c>
      <c r="I197" s="3">
        <v>0.6</v>
      </c>
      <c r="J197" s="4">
        <v>1</v>
      </c>
      <c r="K197" s="4">
        <v>1</v>
      </c>
      <c r="L197" s="4">
        <v>114000</v>
      </c>
      <c r="M197" s="5">
        <v>3.0510375771172181E-2</v>
      </c>
      <c r="N197" s="5">
        <v>1.1029411764705883E-2</v>
      </c>
      <c r="O197" s="5">
        <v>0.33333333333333331</v>
      </c>
      <c r="P197">
        <v>-2</v>
      </c>
      <c r="Q197" s="1">
        <v>-0.66666666666666663</v>
      </c>
      <c r="R197">
        <v>-209030</v>
      </c>
      <c r="S197" s="1">
        <v>-0.64709160139925082</v>
      </c>
    </row>
    <row r="198" spans="1:19" x14ac:dyDescent="0.45">
      <c r="A198" t="s">
        <v>33</v>
      </c>
      <c r="B198" t="s">
        <v>34</v>
      </c>
      <c r="C198" t="s">
        <v>272</v>
      </c>
      <c r="D198" s="2">
        <v>2</v>
      </c>
      <c r="E198" s="2">
        <v>2</v>
      </c>
      <c r="F198" s="2">
        <v>265300</v>
      </c>
      <c r="G198" s="3">
        <v>2.8801355357899194E-2</v>
      </c>
      <c r="H198" s="3">
        <v>1.4705882352941176E-2</v>
      </c>
      <c r="I198" s="3">
        <v>0.4</v>
      </c>
      <c r="J198" s="4">
        <v>2</v>
      </c>
      <c r="K198" s="4">
        <v>2</v>
      </c>
      <c r="L198" s="4">
        <v>242750</v>
      </c>
      <c r="M198" s="5">
        <v>3.0510375771172181E-2</v>
      </c>
      <c r="N198" s="5">
        <v>1.1029411764705883E-2</v>
      </c>
      <c r="O198" s="5">
        <v>0.66666666666666663</v>
      </c>
      <c r="P198">
        <v>0</v>
      </c>
      <c r="Q198" s="1">
        <v>0</v>
      </c>
      <c r="R198">
        <v>-22550</v>
      </c>
      <c r="S198" s="1">
        <v>-8.4998115341123254E-2</v>
      </c>
    </row>
    <row r="199" spans="1:19" x14ac:dyDescent="0.45">
      <c r="A199" t="s">
        <v>33</v>
      </c>
      <c r="B199" t="s">
        <v>33</v>
      </c>
      <c r="C199" t="s">
        <v>273</v>
      </c>
      <c r="D199" s="2">
        <v>3</v>
      </c>
      <c r="E199" s="2">
        <v>4</v>
      </c>
      <c r="F199" s="2">
        <v>563220</v>
      </c>
      <c r="G199" s="3">
        <v>2.8801355357899194E-2</v>
      </c>
      <c r="H199" s="3">
        <v>0.98529411764705888</v>
      </c>
      <c r="I199" s="3">
        <v>1.1940298507462687E-2</v>
      </c>
      <c r="J199" s="4">
        <v>5</v>
      </c>
      <c r="K199" s="4">
        <v>13</v>
      </c>
      <c r="L199" s="4">
        <v>1799820</v>
      </c>
      <c r="M199" s="5">
        <v>3.0510375771172181E-2</v>
      </c>
      <c r="N199" s="5">
        <v>0.98897058823529416</v>
      </c>
      <c r="O199" s="5">
        <v>4.8327137546468404E-2</v>
      </c>
      <c r="P199">
        <v>9</v>
      </c>
      <c r="Q199" s="1">
        <v>2.25</v>
      </c>
      <c r="R199">
        <v>1236600</v>
      </c>
      <c r="S199" s="1">
        <v>2.1955896452540746</v>
      </c>
    </row>
    <row r="200" spans="1:19" x14ac:dyDescent="0.45">
      <c r="A200" t="s">
        <v>33</v>
      </c>
      <c r="B200" t="s">
        <v>33</v>
      </c>
      <c r="C200" t="s">
        <v>274</v>
      </c>
      <c r="D200" s="2">
        <v>4</v>
      </c>
      <c r="E200" s="2">
        <v>4</v>
      </c>
      <c r="F200" s="2">
        <v>606930</v>
      </c>
      <c r="G200" s="3">
        <v>2.8801355357899194E-2</v>
      </c>
      <c r="H200" s="3">
        <v>0.98529411764705888</v>
      </c>
      <c r="I200" s="3">
        <v>1.1940298507462687E-2</v>
      </c>
      <c r="J200" s="4">
        <v>0</v>
      </c>
      <c r="K200" s="4">
        <v>0</v>
      </c>
      <c r="L200" s="4">
        <v>0</v>
      </c>
      <c r="M200" s="5">
        <v>3.0510375771172181E-2</v>
      </c>
      <c r="N200" s="5">
        <v>0.98897058823529416</v>
      </c>
      <c r="O200" s="5">
        <v>0</v>
      </c>
      <c r="P200">
        <v>-4</v>
      </c>
      <c r="Q200" s="1">
        <v>-1</v>
      </c>
      <c r="R200">
        <v>-606930</v>
      </c>
      <c r="S200" s="1">
        <v>-1</v>
      </c>
    </row>
    <row r="201" spans="1:19" x14ac:dyDescent="0.45">
      <c r="A201" t="s">
        <v>33</v>
      </c>
      <c r="B201" t="s">
        <v>33</v>
      </c>
      <c r="C201" t="s">
        <v>275</v>
      </c>
      <c r="D201" s="2">
        <v>13</v>
      </c>
      <c r="E201" s="2">
        <v>26</v>
      </c>
      <c r="F201" s="2">
        <v>3547750</v>
      </c>
      <c r="G201" s="3">
        <v>2.8801355357899194E-2</v>
      </c>
      <c r="H201" s="3">
        <v>0.98529411764705888</v>
      </c>
      <c r="I201" s="3">
        <v>7.7611940298507459E-2</v>
      </c>
      <c r="J201" s="4">
        <v>3</v>
      </c>
      <c r="K201" s="4">
        <v>4</v>
      </c>
      <c r="L201" s="4">
        <v>536900</v>
      </c>
      <c r="M201" s="5">
        <v>3.0510375771172181E-2</v>
      </c>
      <c r="N201" s="5">
        <v>0.98897058823529416</v>
      </c>
      <c r="O201" s="5">
        <v>1.4869888475836431E-2</v>
      </c>
      <c r="P201">
        <v>-22</v>
      </c>
      <c r="Q201" s="1">
        <v>-0.84615384615384615</v>
      </c>
      <c r="R201">
        <v>-3010850</v>
      </c>
      <c r="S201" s="1">
        <v>-0.84866464660700447</v>
      </c>
    </row>
    <row r="202" spans="1:19" x14ac:dyDescent="0.45">
      <c r="A202" t="s">
        <v>33</v>
      </c>
      <c r="B202" t="s">
        <v>33</v>
      </c>
      <c r="C202" t="s">
        <v>276</v>
      </c>
      <c r="D202" s="2">
        <v>1</v>
      </c>
      <c r="E202" s="2">
        <v>2</v>
      </c>
      <c r="F202" s="2">
        <v>257420</v>
      </c>
      <c r="G202" s="3">
        <v>2.8801355357899194E-2</v>
      </c>
      <c r="H202" s="3">
        <v>0.98529411764705888</v>
      </c>
      <c r="I202" s="3">
        <v>5.9701492537313433E-3</v>
      </c>
      <c r="J202" s="4">
        <v>2</v>
      </c>
      <c r="K202" s="4">
        <v>3</v>
      </c>
      <c r="L202" s="4">
        <v>414840</v>
      </c>
      <c r="M202" s="5">
        <v>3.0510375771172181E-2</v>
      </c>
      <c r="N202" s="5">
        <v>0.98897058823529416</v>
      </c>
      <c r="O202" s="5">
        <v>1.1152416356877323E-2</v>
      </c>
      <c r="P202">
        <v>1</v>
      </c>
      <c r="Q202" s="1">
        <v>0.5</v>
      </c>
      <c r="R202">
        <v>157420</v>
      </c>
      <c r="S202" s="1">
        <v>0.61152979566467247</v>
      </c>
    </row>
    <row r="203" spans="1:19" x14ac:dyDescent="0.45">
      <c r="A203" t="s">
        <v>33</v>
      </c>
      <c r="B203" t="s">
        <v>33</v>
      </c>
      <c r="C203" t="s">
        <v>277</v>
      </c>
      <c r="D203" s="2">
        <v>15</v>
      </c>
      <c r="E203" s="2">
        <v>17</v>
      </c>
      <c r="F203" s="2">
        <v>3017140</v>
      </c>
      <c r="G203" s="3">
        <v>2.8801355357899194E-2</v>
      </c>
      <c r="H203" s="3">
        <v>0.98529411764705888</v>
      </c>
      <c r="I203" s="3">
        <v>5.0746268656716415E-2</v>
      </c>
      <c r="J203" s="4">
        <v>7</v>
      </c>
      <c r="K203" s="4">
        <v>8</v>
      </c>
      <c r="L203" s="4">
        <v>1420110</v>
      </c>
      <c r="M203" s="5">
        <v>3.0510375771172181E-2</v>
      </c>
      <c r="N203" s="5">
        <v>0.98897058823529416</v>
      </c>
      <c r="O203" s="5">
        <v>2.9739776951672861E-2</v>
      </c>
      <c r="P203">
        <v>-9</v>
      </c>
      <c r="Q203" s="1">
        <v>-0.52941176470588236</v>
      </c>
      <c r="R203">
        <v>-1597030</v>
      </c>
      <c r="S203" s="1">
        <v>-0.52931915655223161</v>
      </c>
    </row>
    <row r="204" spans="1:19" x14ac:dyDescent="0.45">
      <c r="A204" t="s">
        <v>33</v>
      </c>
      <c r="B204" t="s">
        <v>33</v>
      </c>
      <c r="C204" t="s">
        <v>278</v>
      </c>
      <c r="D204" s="2">
        <v>25</v>
      </c>
      <c r="E204" s="2">
        <v>59</v>
      </c>
      <c r="F204" s="2">
        <v>4090620</v>
      </c>
      <c r="G204" s="3">
        <v>2.8801355357899194E-2</v>
      </c>
      <c r="H204" s="3">
        <v>0.98529411764705888</v>
      </c>
      <c r="I204" s="3">
        <v>0.17611940298507461</v>
      </c>
      <c r="J204" s="4">
        <v>26</v>
      </c>
      <c r="K204" s="4">
        <v>53</v>
      </c>
      <c r="L204" s="4">
        <v>3704250</v>
      </c>
      <c r="M204" s="5">
        <v>3.0510375771172181E-2</v>
      </c>
      <c r="N204" s="5">
        <v>0.98897058823529416</v>
      </c>
      <c r="O204" s="5">
        <v>0.19702602230483271</v>
      </c>
      <c r="P204">
        <v>-6</v>
      </c>
      <c r="Q204" s="1">
        <v>-0.10169491525423729</v>
      </c>
      <c r="R204">
        <v>-386370</v>
      </c>
      <c r="S204" s="1">
        <v>-9.4452674655675667E-2</v>
      </c>
    </row>
    <row r="205" spans="1:19" x14ac:dyDescent="0.45">
      <c r="A205" t="s">
        <v>33</v>
      </c>
      <c r="B205" t="s">
        <v>33</v>
      </c>
      <c r="C205" t="s">
        <v>279</v>
      </c>
      <c r="D205" s="2">
        <v>174</v>
      </c>
      <c r="E205" s="2">
        <v>199</v>
      </c>
      <c r="F205" s="2">
        <v>35485800</v>
      </c>
      <c r="G205" s="3">
        <v>2.8801355357899194E-2</v>
      </c>
      <c r="H205" s="3">
        <v>0.98529411764705888</v>
      </c>
      <c r="I205" s="3">
        <v>0.59402985074626868</v>
      </c>
      <c r="J205" s="4">
        <v>157</v>
      </c>
      <c r="K205" s="4">
        <v>177</v>
      </c>
      <c r="L205" s="4">
        <v>31798010</v>
      </c>
      <c r="M205" s="5">
        <v>3.0510375771172181E-2</v>
      </c>
      <c r="N205" s="5">
        <v>0.98897058823529416</v>
      </c>
      <c r="O205" s="5">
        <v>0.65799256505576209</v>
      </c>
      <c r="P205">
        <v>-22</v>
      </c>
      <c r="Q205" s="1">
        <v>-0.11055276381909548</v>
      </c>
      <c r="R205">
        <v>-3687790</v>
      </c>
      <c r="S205" s="1">
        <v>-0.10392297764176094</v>
      </c>
    </row>
    <row r="206" spans="1:19" x14ac:dyDescent="0.45">
      <c r="A206" t="s">
        <v>33</v>
      </c>
      <c r="B206" t="s">
        <v>33</v>
      </c>
      <c r="C206" t="s">
        <v>280</v>
      </c>
      <c r="D206" s="2">
        <v>4</v>
      </c>
      <c r="E206" s="2">
        <v>8</v>
      </c>
      <c r="F206" s="2">
        <v>1062450</v>
      </c>
      <c r="G206" s="3">
        <v>2.8801355357899194E-2</v>
      </c>
      <c r="H206" s="3">
        <v>0.98529411764705888</v>
      </c>
      <c r="I206" s="3">
        <v>2.3880597014925373E-2</v>
      </c>
      <c r="J206" s="4">
        <v>0</v>
      </c>
      <c r="K206" s="4">
        <v>0</v>
      </c>
      <c r="L206" s="4">
        <v>0</v>
      </c>
      <c r="M206" s="5">
        <v>3.0510375771172181E-2</v>
      </c>
      <c r="N206" s="5">
        <v>0.98897058823529416</v>
      </c>
      <c r="O206" s="5">
        <v>0</v>
      </c>
      <c r="P206">
        <v>-8</v>
      </c>
      <c r="Q206" s="1">
        <v>-1</v>
      </c>
      <c r="R206">
        <v>-1062450</v>
      </c>
      <c r="S206" s="1">
        <v>-1</v>
      </c>
    </row>
    <row r="207" spans="1:19" x14ac:dyDescent="0.45">
      <c r="A207" t="s">
        <v>33</v>
      </c>
      <c r="B207" t="s">
        <v>33</v>
      </c>
      <c r="C207" t="s">
        <v>281</v>
      </c>
      <c r="D207" s="2">
        <v>3</v>
      </c>
      <c r="E207" s="2">
        <v>3</v>
      </c>
      <c r="F207" s="2">
        <v>392340</v>
      </c>
      <c r="G207" s="3">
        <v>2.8801355357899194E-2</v>
      </c>
      <c r="H207" s="3">
        <v>0.98529411764705888</v>
      </c>
      <c r="I207" s="3">
        <v>8.9552238805970154E-3</v>
      </c>
      <c r="J207" s="4">
        <v>2</v>
      </c>
      <c r="K207" s="4">
        <v>3</v>
      </c>
      <c r="L207" s="4">
        <v>415240</v>
      </c>
      <c r="M207" s="5">
        <v>3.0510375771172181E-2</v>
      </c>
      <c r="N207" s="5">
        <v>0.98897058823529416</v>
      </c>
      <c r="O207" s="5">
        <v>1.1152416356877323E-2</v>
      </c>
      <c r="P207">
        <v>0</v>
      </c>
      <c r="Q207" s="1">
        <v>0</v>
      </c>
      <c r="R207">
        <v>22900</v>
      </c>
      <c r="S207" s="1">
        <v>5.8367742264362546E-2</v>
      </c>
    </row>
    <row r="208" spans="1:19" x14ac:dyDescent="0.45">
      <c r="A208" t="s">
        <v>33</v>
      </c>
      <c r="B208" t="s">
        <v>33</v>
      </c>
      <c r="C208" t="s">
        <v>282</v>
      </c>
      <c r="D208" s="2">
        <v>6</v>
      </c>
      <c r="E208" s="2">
        <v>13</v>
      </c>
      <c r="F208" s="2">
        <v>1710820</v>
      </c>
      <c r="G208" s="3">
        <v>2.8801355357899194E-2</v>
      </c>
      <c r="H208" s="3">
        <v>0.98529411764705888</v>
      </c>
      <c r="I208" s="3">
        <v>3.880597014925373E-2</v>
      </c>
      <c r="J208" s="4">
        <v>8</v>
      </c>
      <c r="K208" s="4">
        <v>8</v>
      </c>
      <c r="L208" s="4">
        <v>1156040</v>
      </c>
      <c r="M208" s="5">
        <v>3.0510375771172181E-2</v>
      </c>
      <c r="N208" s="5">
        <v>0.98897058823529416</v>
      </c>
      <c r="O208" s="5">
        <v>2.9739776951672861E-2</v>
      </c>
      <c r="P208">
        <v>-5</v>
      </c>
      <c r="Q208" s="1">
        <v>-0.38461538461538464</v>
      </c>
      <c r="R208">
        <v>-554780</v>
      </c>
      <c r="S208" s="1">
        <v>-0.3242772471680247</v>
      </c>
    </row>
    <row r="209" spans="1:19" x14ac:dyDescent="0.45">
      <c r="A209" t="s">
        <v>35</v>
      </c>
      <c r="B209" t="s">
        <v>36</v>
      </c>
      <c r="C209" t="s">
        <v>283</v>
      </c>
      <c r="D209" s="2">
        <v>9</v>
      </c>
      <c r="E209" s="2">
        <v>11</v>
      </c>
      <c r="F209" s="2">
        <v>1558110</v>
      </c>
      <c r="G209" s="3">
        <v>0.15815332486234646</v>
      </c>
      <c r="H209" s="3">
        <v>9.3197643277986075E-2</v>
      </c>
      <c r="I209" s="3">
        <v>6.3218390804597707E-2</v>
      </c>
      <c r="J209" s="4">
        <v>9</v>
      </c>
      <c r="K209" s="4">
        <v>9</v>
      </c>
      <c r="L209" s="4">
        <v>1237030</v>
      </c>
      <c r="M209" s="5">
        <v>0.20874929893438027</v>
      </c>
      <c r="N209" s="5">
        <v>8.0064481461579795E-2</v>
      </c>
      <c r="O209" s="5">
        <v>6.0402684563758392E-2</v>
      </c>
      <c r="P209">
        <v>-2</v>
      </c>
      <c r="Q209" s="1">
        <v>-0.18181818181818182</v>
      </c>
      <c r="R209">
        <v>-321080</v>
      </c>
      <c r="S209" s="1">
        <v>-0.20607017476301417</v>
      </c>
    </row>
    <row r="210" spans="1:19" x14ac:dyDescent="0.45">
      <c r="A210" t="s">
        <v>35</v>
      </c>
      <c r="B210" t="s">
        <v>36</v>
      </c>
      <c r="C210" t="s">
        <v>284</v>
      </c>
      <c r="D210" s="2">
        <v>3</v>
      </c>
      <c r="E210" s="2">
        <v>3</v>
      </c>
      <c r="F210" s="2">
        <v>429250</v>
      </c>
      <c r="G210" s="3">
        <v>0.15815332486234646</v>
      </c>
      <c r="H210" s="3">
        <v>9.3197643277986075E-2</v>
      </c>
      <c r="I210" s="3">
        <v>1.7241379310344827E-2</v>
      </c>
      <c r="J210" s="4">
        <v>6</v>
      </c>
      <c r="K210" s="4">
        <v>6</v>
      </c>
      <c r="L210" s="4">
        <v>849080</v>
      </c>
      <c r="M210" s="5">
        <v>0.20874929893438027</v>
      </c>
      <c r="N210" s="5">
        <v>8.0064481461579795E-2</v>
      </c>
      <c r="O210" s="5">
        <v>4.0268456375838924E-2</v>
      </c>
      <c r="P210">
        <v>3</v>
      </c>
      <c r="Q210" s="1">
        <v>1</v>
      </c>
      <c r="R210">
        <v>419830</v>
      </c>
      <c r="S210" s="1">
        <v>0.97805474665113568</v>
      </c>
    </row>
    <row r="211" spans="1:19" x14ac:dyDescent="0.45">
      <c r="A211" t="s">
        <v>35</v>
      </c>
      <c r="B211" t="s">
        <v>36</v>
      </c>
      <c r="C211" t="s">
        <v>285</v>
      </c>
      <c r="D211" s="2">
        <v>33</v>
      </c>
      <c r="E211" s="2">
        <v>34</v>
      </c>
      <c r="F211" s="2">
        <v>4748390</v>
      </c>
      <c r="G211" s="3">
        <v>0.15815332486234646</v>
      </c>
      <c r="H211" s="3">
        <v>9.3197643277986075E-2</v>
      </c>
      <c r="I211" s="3">
        <v>0.19540229885057472</v>
      </c>
      <c r="J211" s="4">
        <v>37</v>
      </c>
      <c r="K211" s="4">
        <v>43</v>
      </c>
      <c r="L211" s="4">
        <v>5998400</v>
      </c>
      <c r="M211" s="5">
        <v>0.20874929893438027</v>
      </c>
      <c r="N211" s="5">
        <v>8.0064481461579795E-2</v>
      </c>
      <c r="O211" s="5">
        <v>0.28859060402684567</v>
      </c>
      <c r="P211">
        <v>9</v>
      </c>
      <c r="Q211" s="1">
        <v>0.26470588235294118</v>
      </c>
      <c r="R211">
        <v>1250010</v>
      </c>
      <c r="S211" s="1">
        <v>0.26324922763294506</v>
      </c>
    </row>
    <row r="212" spans="1:19" x14ac:dyDescent="0.45">
      <c r="A212" t="s">
        <v>35</v>
      </c>
      <c r="B212" t="s">
        <v>36</v>
      </c>
      <c r="C212" t="s">
        <v>286</v>
      </c>
      <c r="D212" s="2">
        <v>8</v>
      </c>
      <c r="E212" s="2">
        <v>9</v>
      </c>
      <c r="F212" s="2">
        <v>1415590</v>
      </c>
      <c r="G212" s="3">
        <v>0.15815332486234646</v>
      </c>
      <c r="H212" s="3">
        <v>9.3197643277986075E-2</v>
      </c>
      <c r="I212" s="3">
        <v>5.1724137931034482E-2</v>
      </c>
      <c r="J212" s="4">
        <v>11</v>
      </c>
      <c r="K212" s="4">
        <v>11</v>
      </c>
      <c r="L212" s="4">
        <v>1740350</v>
      </c>
      <c r="M212" s="5">
        <v>0.20874929893438027</v>
      </c>
      <c r="N212" s="5">
        <v>8.0064481461579795E-2</v>
      </c>
      <c r="O212" s="5">
        <v>7.3825503355704702E-2</v>
      </c>
      <c r="P212">
        <v>2</v>
      </c>
      <c r="Q212" s="1">
        <v>0.22222222222222221</v>
      </c>
      <c r="R212">
        <v>324760</v>
      </c>
      <c r="S212" s="1">
        <v>0.22941670964050326</v>
      </c>
    </row>
    <row r="213" spans="1:19" x14ac:dyDescent="0.45">
      <c r="A213" t="s">
        <v>35</v>
      </c>
      <c r="B213" t="s">
        <v>36</v>
      </c>
      <c r="C213" t="s">
        <v>287</v>
      </c>
      <c r="D213" s="2">
        <v>2</v>
      </c>
      <c r="E213" s="2">
        <v>2</v>
      </c>
      <c r="F213" s="2">
        <v>310090</v>
      </c>
      <c r="G213" s="3">
        <v>0.15815332486234646</v>
      </c>
      <c r="H213" s="3">
        <v>9.3197643277986075E-2</v>
      </c>
      <c r="I213" s="3">
        <v>1.1494252873563218E-2</v>
      </c>
      <c r="J213" s="4">
        <v>3</v>
      </c>
      <c r="K213" s="4">
        <v>3</v>
      </c>
      <c r="L213" s="4">
        <v>486870</v>
      </c>
      <c r="M213" s="5">
        <v>0.20874929893438027</v>
      </c>
      <c r="N213" s="5">
        <v>8.0064481461579795E-2</v>
      </c>
      <c r="O213" s="5">
        <v>2.0134228187919462E-2</v>
      </c>
      <c r="P213">
        <v>1</v>
      </c>
      <c r="Q213" s="1">
        <v>0.5</v>
      </c>
      <c r="R213">
        <v>176780</v>
      </c>
      <c r="S213" s="1">
        <v>0.57009255377471058</v>
      </c>
    </row>
    <row r="214" spans="1:19" x14ac:dyDescent="0.45">
      <c r="A214" t="s">
        <v>35</v>
      </c>
      <c r="B214" t="s">
        <v>36</v>
      </c>
      <c r="C214" t="s">
        <v>288</v>
      </c>
      <c r="D214" s="2">
        <v>2</v>
      </c>
      <c r="E214" s="2">
        <v>2</v>
      </c>
      <c r="F214" s="2">
        <v>322930</v>
      </c>
      <c r="G214" s="3">
        <v>0.15815332486234646</v>
      </c>
      <c r="H214" s="3">
        <v>9.3197643277986075E-2</v>
      </c>
      <c r="I214" s="3">
        <v>1.1494252873563218E-2</v>
      </c>
      <c r="J214" s="4">
        <v>2</v>
      </c>
      <c r="K214" s="4">
        <v>2</v>
      </c>
      <c r="L214" s="4">
        <v>318030</v>
      </c>
      <c r="M214" s="5">
        <v>0.20874929893438027</v>
      </c>
      <c r="N214" s="5">
        <v>8.0064481461579795E-2</v>
      </c>
      <c r="O214" s="5">
        <v>1.3422818791946308E-2</v>
      </c>
      <c r="P214">
        <v>0</v>
      </c>
      <c r="Q214" s="1">
        <v>0</v>
      </c>
      <c r="R214">
        <v>-4900</v>
      </c>
      <c r="S214" s="1">
        <v>-1.5173567026909857E-2</v>
      </c>
    </row>
    <row r="215" spans="1:19" x14ac:dyDescent="0.45">
      <c r="A215" t="s">
        <v>35</v>
      </c>
      <c r="B215" t="s">
        <v>36</v>
      </c>
      <c r="C215" t="s">
        <v>289</v>
      </c>
      <c r="D215" s="2">
        <v>39</v>
      </c>
      <c r="E215" s="2">
        <v>46</v>
      </c>
      <c r="F215" s="2">
        <v>7275850</v>
      </c>
      <c r="G215" s="3">
        <v>0.15815332486234646</v>
      </c>
      <c r="H215" s="3">
        <v>9.3197643277986075E-2</v>
      </c>
      <c r="I215" s="3">
        <v>0.26436781609195403</v>
      </c>
      <c r="J215" s="4">
        <v>33</v>
      </c>
      <c r="K215" s="4">
        <v>37</v>
      </c>
      <c r="L215" s="4">
        <v>5892720</v>
      </c>
      <c r="M215" s="5">
        <v>0.20874929893438027</v>
      </c>
      <c r="N215" s="5">
        <v>8.0064481461579795E-2</v>
      </c>
      <c r="O215" s="5">
        <v>0.24832214765100671</v>
      </c>
      <c r="P215">
        <v>-9</v>
      </c>
      <c r="Q215" s="1">
        <v>-0.19565217391304349</v>
      </c>
      <c r="R215">
        <v>-1383130</v>
      </c>
      <c r="S215" s="1">
        <v>-0.19009875134863968</v>
      </c>
    </row>
    <row r="216" spans="1:19" x14ac:dyDescent="0.45">
      <c r="A216" t="s">
        <v>35</v>
      </c>
      <c r="B216" t="s">
        <v>36</v>
      </c>
      <c r="C216" t="s">
        <v>290</v>
      </c>
      <c r="D216" s="2">
        <v>3</v>
      </c>
      <c r="E216" s="2">
        <v>4</v>
      </c>
      <c r="F216" s="2">
        <v>689300</v>
      </c>
      <c r="G216" s="3">
        <v>0.15815332486234646</v>
      </c>
      <c r="H216" s="3">
        <v>9.3197643277986075E-2</v>
      </c>
      <c r="I216" s="3">
        <v>2.2988505747126436E-2</v>
      </c>
      <c r="J216" s="4">
        <v>8</v>
      </c>
      <c r="K216" s="4">
        <v>9</v>
      </c>
      <c r="L216" s="4">
        <v>1512970</v>
      </c>
      <c r="M216" s="5">
        <v>0.20874929893438027</v>
      </c>
      <c r="N216" s="5">
        <v>8.0064481461579795E-2</v>
      </c>
      <c r="O216" s="5">
        <v>6.0402684563758392E-2</v>
      </c>
      <c r="P216">
        <v>5</v>
      </c>
      <c r="Q216" s="1">
        <v>1.25</v>
      </c>
      <c r="R216">
        <v>823670</v>
      </c>
      <c r="S216" s="1">
        <v>1.1949368924996373</v>
      </c>
    </row>
    <row r="217" spans="1:19" x14ac:dyDescent="0.45">
      <c r="A217" t="s">
        <v>35</v>
      </c>
      <c r="B217" t="s">
        <v>36</v>
      </c>
      <c r="C217" t="s">
        <v>291</v>
      </c>
      <c r="D217" s="2">
        <v>22</v>
      </c>
      <c r="E217" s="2">
        <v>30</v>
      </c>
      <c r="F217" s="2">
        <v>5075160</v>
      </c>
      <c r="G217" s="3">
        <v>0.15815332486234646</v>
      </c>
      <c r="H217" s="3">
        <v>9.3197643277986075E-2</v>
      </c>
      <c r="I217" s="3">
        <v>0.17241379310344829</v>
      </c>
      <c r="J217" s="4">
        <v>27</v>
      </c>
      <c r="K217" s="4">
        <v>29</v>
      </c>
      <c r="L217" s="4">
        <v>4824710</v>
      </c>
      <c r="M217" s="5">
        <v>0.20874929893438027</v>
      </c>
      <c r="N217" s="5">
        <v>8.0064481461579795E-2</v>
      </c>
      <c r="O217" s="5">
        <v>0.19463087248322147</v>
      </c>
      <c r="P217">
        <v>-1</v>
      </c>
      <c r="Q217" s="1">
        <v>-3.3333333333333333E-2</v>
      </c>
      <c r="R217">
        <v>-250450</v>
      </c>
      <c r="S217" s="1">
        <v>-4.9348197889327629E-2</v>
      </c>
    </row>
    <row r="218" spans="1:19" x14ac:dyDescent="0.45">
      <c r="A218" t="s">
        <v>35</v>
      </c>
      <c r="B218" t="s">
        <v>37</v>
      </c>
      <c r="C218" t="s">
        <v>292</v>
      </c>
      <c r="D218" s="2">
        <v>4</v>
      </c>
      <c r="E218" s="2">
        <v>4</v>
      </c>
      <c r="F218" s="2">
        <v>829960</v>
      </c>
      <c r="G218" s="3">
        <v>0.15815332486234646</v>
      </c>
      <c r="H218" s="3">
        <v>6.5345474022495978E-2</v>
      </c>
      <c r="I218" s="3">
        <v>3.2786885245901641E-2</v>
      </c>
      <c r="J218" s="4">
        <v>5</v>
      </c>
      <c r="K218" s="4">
        <v>5</v>
      </c>
      <c r="L218" s="4">
        <v>1049960</v>
      </c>
      <c r="M218" s="5">
        <v>0.20874929893438027</v>
      </c>
      <c r="N218" s="5">
        <v>5.2659860290166574E-2</v>
      </c>
      <c r="O218" s="5">
        <v>5.1020408163265307E-2</v>
      </c>
      <c r="P218">
        <v>1</v>
      </c>
      <c r="Q218" s="1">
        <v>0.25</v>
      </c>
      <c r="R218">
        <v>220000</v>
      </c>
      <c r="S218" s="1">
        <v>0.26507301556701529</v>
      </c>
    </row>
    <row r="219" spans="1:19" x14ac:dyDescent="0.45">
      <c r="A219" t="s">
        <v>35</v>
      </c>
      <c r="B219" t="s">
        <v>37</v>
      </c>
      <c r="C219" t="s">
        <v>293</v>
      </c>
      <c r="D219" s="2">
        <v>4</v>
      </c>
      <c r="E219" s="2">
        <v>4</v>
      </c>
      <c r="F219" s="2">
        <v>829070</v>
      </c>
      <c r="G219" s="3">
        <v>0.15815332486234646</v>
      </c>
      <c r="H219" s="3">
        <v>6.5345474022495978E-2</v>
      </c>
      <c r="I219" s="3">
        <v>3.2786885245901641E-2</v>
      </c>
      <c r="J219" s="4">
        <v>5</v>
      </c>
      <c r="K219" s="4">
        <v>5</v>
      </c>
      <c r="L219" s="4">
        <v>1075730</v>
      </c>
      <c r="M219" s="5">
        <v>0.20874929893438027</v>
      </c>
      <c r="N219" s="5">
        <v>5.2659860290166574E-2</v>
      </c>
      <c r="O219" s="5">
        <v>5.1020408163265307E-2</v>
      </c>
      <c r="P219">
        <v>1</v>
      </c>
      <c r="Q219" s="1">
        <v>0.25</v>
      </c>
      <c r="R219">
        <v>246660</v>
      </c>
      <c r="S219" s="1">
        <v>0.29751408204373575</v>
      </c>
    </row>
    <row r="220" spans="1:19" x14ac:dyDescent="0.45">
      <c r="A220" t="s">
        <v>35</v>
      </c>
      <c r="B220" t="s">
        <v>37</v>
      </c>
      <c r="C220" t="s">
        <v>294</v>
      </c>
      <c r="D220" s="2">
        <v>29</v>
      </c>
      <c r="E220" s="2">
        <v>32</v>
      </c>
      <c r="F220" s="2">
        <v>6517150</v>
      </c>
      <c r="G220" s="3">
        <v>0.15815332486234646</v>
      </c>
      <c r="H220" s="3">
        <v>6.5345474022495978E-2</v>
      </c>
      <c r="I220" s="3">
        <v>0.26229508196721313</v>
      </c>
      <c r="J220" s="4">
        <v>9</v>
      </c>
      <c r="K220" s="4">
        <v>10</v>
      </c>
      <c r="L220" s="4">
        <v>2055640</v>
      </c>
      <c r="M220" s="5">
        <v>0.20874929893438027</v>
      </c>
      <c r="N220" s="5">
        <v>5.2659860290166574E-2</v>
      </c>
      <c r="O220" s="5">
        <v>0.10204081632653061</v>
      </c>
      <c r="P220">
        <v>-22</v>
      </c>
      <c r="Q220" s="1">
        <v>-0.6875</v>
      </c>
      <c r="R220">
        <v>-4461510</v>
      </c>
      <c r="S220" s="1">
        <v>-0.68457991606760626</v>
      </c>
    </row>
    <row r="221" spans="1:19" x14ac:dyDescent="0.45">
      <c r="A221" t="s">
        <v>35</v>
      </c>
      <c r="B221" t="s">
        <v>37</v>
      </c>
      <c r="C221" t="s">
        <v>295</v>
      </c>
      <c r="D221" s="2">
        <v>0</v>
      </c>
      <c r="E221" s="2">
        <v>0</v>
      </c>
      <c r="F221" s="2">
        <v>0</v>
      </c>
      <c r="G221" s="3">
        <v>0.15815332486234646</v>
      </c>
      <c r="H221" s="3">
        <v>6.5345474022495978E-2</v>
      </c>
      <c r="I221" s="3">
        <v>0</v>
      </c>
      <c r="J221" s="4">
        <v>2</v>
      </c>
      <c r="K221" s="4">
        <v>2</v>
      </c>
      <c r="L221" s="4">
        <v>412100</v>
      </c>
      <c r="M221" s="5">
        <v>0.20874929893438027</v>
      </c>
      <c r="N221" s="5">
        <v>5.2659860290166574E-2</v>
      </c>
      <c r="O221" s="5">
        <v>2.0408163265306121E-2</v>
      </c>
      <c r="P221">
        <v>2</v>
      </c>
      <c r="Q221" s="1">
        <v>1</v>
      </c>
      <c r="R221">
        <v>412100</v>
      </c>
      <c r="S221" s="1">
        <v>1</v>
      </c>
    </row>
    <row r="222" spans="1:19" x14ac:dyDescent="0.45">
      <c r="A222" t="s">
        <v>35</v>
      </c>
      <c r="B222" t="s">
        <v>37</v>
      </c>
      <c r="C222" t="s">
        <v>296</v>
      </c>
      <c r="D222" s="2">
        <v>3</v>
      </c>
      <c r="E222" s="2">
        <v>3</v>
      </c>
      <c r="F222" s="2">
        <v>606610</v>
      </c>
      <c r="G222" s="3">
        <v>0.15815332486234646</v>
      </c>
      <c r="H222" s="3">
        <v>6.5345474022495978E-2</v>
      </c>
      <c r="I222" s="3">
        <v>2.4590163934426229E-2</v>
      </c>
      <c r="J222" s="4">
        <v>3</v>
      </c>
      <c r="K222" s="4">
        <v>3</v>
      </c>
      <c r="L222" s="4">
        <v>659810</v>
      </c>
      <c r="M222" s="5">
        <v>0.20874929893438027</v>
      </c>
      <c r="N222" s="5">
        <v>5.2659860290166574E-2</v>
      </c>
      <c r="O222" s="5">
        <v>3.0612244897959183E-2</v>
      </c>
      <c r="P222">
        <v>0</v>
      </c>
      <c r="Q222" s="1">
        <v>0</v>
      </c>
      <c r="R222">
        <v>53200</v>
      </c>
      <c r="S222" s="1">
        <v>8.7700499497205778E-2</v>
      </c>
    </row>
    <row r="223" spans="1:19" x14ac:dyDescent="0.45">
      <c r="A223" t="s">
        <v>35</v>
      </c>
      <c r="B223" t="s">
        <v>37</v>
      </c>
      <c r="C223" t="s">
        <v>297</v>
      </c>
      <c r="D223" s="2">
        <v>11</v>
      </c>
      <c r="E223" s="2">
        <v>13</v>
      </c>
      <c r="F223" s="2">
        <v>2694180</v>
      </c>
      <c r="G223" s="3">
        <v>0.15815332486234646</v>
      </c>
      <c r="H223" s="3">
        <v>6.5345474022495978E-2</v>
      </c>
      <c r="I223" s="3">
        <v>0.10655737704918032</v>
      </c>
      <c r="J223" s="4">
        <v>13</v>
      </c>
      <c r="K223" s="4">
        <v>14</v>
      </c>
      <c r="L223" s="4">
        <v>2877850</v>
      </c>
      <c r="M223" s="5">
        <v>0.20874929893438027</v>
      </c>
      <c r="N223" s="5">
        <v>5.2659860290166574E-2</v>
      </c>
      <c r="O223" s="5">
        <v>0.14285714285714285</v>
      </c>
      <c r="P223">
        <v>1</v>
      </c>
      <c r="Q223" s="1">
        <v>7.6923076923076927E-2</v>
      </c>
      <c r="R223">
        <v>183670</v>
      </c>
      <c r="S223" s="1">
        <v>6.8172876348276651E-2</v>
      </c>
    </row>
    <row r="224" spans="1:19" x14ac:dyDescent="0.45">
      <c r="A224" t="s">
        <v>35</v>
      </c>
      <c r="B224" t="s">
        <v>37</v>
      </c>
      <c r="C224" t="s">
        <v>298</v>
      </c>
      <c r="D224" s="2">
        <v>4</v>
      </c>
      <c r="E224" s="2">
        <v>4</v>
      </c>
      <c r="F224" s="2">
        <v>846080</v>
      </c>
      <c r="G224" s="3">
        <v>0.15815332486234646</v>
      </c>
      <c r="H224" s="3">
        <v>6.5345474022495978E-2</v>
      </c>
      <c r="I224" s="3">
        <v>3.2786885245901641E-2</v>
      </c>
      <c r="J224" s="4">
        <v>6</v>
      </c>
      <c r="K224" s="4">
        <v>6</v>
      </c>
      <c r="L224" s="4">
        <v>1282180</v>
      </c>
      <c r="M224" s="5">
        <v>0.20874929893438027</v>
      </c>
      <c r="N224" s="5">
        <v>5.2659860290166574E-2</v>
      </c>
      <c r="O224" s="5">
        <v>6.1224489795918366E-2</v>
      </c>
      <c r="P224">
        <v>2</v>
      </c>
      <c r="Q224" s="1">
        <v>0.5</v>
      </c>
      <c r="R224">
        <v>436100</v>
      </c>
      <c r="S224" s="1">
        <v>0.51543589258698941</v>
      </c>
    </row>
    <row r="225" spans="1:19" x14ac:dyDescent="0.45">
      <c r="A225" t="s">
        <v>35</v>
      </c>
      <c r="B225" t="s">
        <v>37</v>
      </c>
      <c r="C225" t="s">
        <v>299</v>
      </c>
      <c r="D225" s="2">
        <v>3</v>
      </c>
      <c r="E225" s="2">
        <v>3</v>
      </c>
      <c r="F225" s="2">
        <v>634150</v>
      </c>
      <c r="G225" s="3">
        <v>0.15815332486234646</v>
      </c>
      <c r="H225" s="3">
        <v>6.5345474022495978E-2</v>
      </c>
      <c r="I225" s="3">
        <v>2.4590163934426229E-2</v>
      </c>
      <c r="J225" s="4">
        <v>4</v>
      </c>
      <c r="K225" s="4">
        <v>4</v>
      </c>
      <c r="L225" s="4">
        <v>859580</v>
      </c>
      <c r="M225" s="5">
        <v>0.20874929893438027</v>
      </c>
      <c r="N225" s="5">
        <v>5.2659860290166574E-2</v>
      </c>
      <c r="O225" s="5">
        <v>4.0816326530612242E-2</v>
      </c>
      <c r="P225">
        <v>1</v>
      </c>
      <c r="Q225" s="1">
        <v>0.33333333333333331</v>
      </c>
      <c r="R225">
        <v>225430</v>
      </c>
      <c r="S225" s="1">
        <v>0.35548371836316328</v>
      </c>
    </row>
    <row r="226" spans="1:19" x14ac:dyDescent="0.45">
      <c r="A226" t="s">
        <v>35</v>
      </c>
      <c r="B226" t="s">
        <v>37</v>
      </c>
      <c r="C226" t="s">
        <v>300</v>
      </c>
      <c r="D226" s="2">
        <v>18</v>
      </c>
      <c r="E226" s="2">
        <v>18</v>
      </c>
      <c r="F226" s="2">
        <v>3819870</v>
      </c>
      <c r="G226" s="3">
        <v>0.15815332486234646</v>
      </c>
      <c r="H226" s="3">
        <v>6.5345474022495978E-2</v>
      </c>
      <c r="I226" s="3">
        <v>0.14754098360655737</v>
      </c>
      <c r="J226" s="4">
        <v>10</v>
      </c>
      <c r="K226" s="4">
        <v>10</v>
      </c>
      <c r="L226" s="4">
        <v>2138450</v>
      </c>
      <c r="M226" s="5">
        <v>0.20874929893438027</v>
      </c>
      <c r="N226" s="5">
        <v>5.2659860290166574E-2</v>
      </c>
      <c r="O226" s="5">
        <v>0.10204081632653061</v>
      </c>
      <c r="P226">
        <v>-8</v>
      </c>
      <c r="Q226" s="1">
        <v>-0.44444444444444442</v>
      </c>
      <c r="R226">
        <v>-1681420</v>
      </c>
      <c r="S226" s="1">
        <v>-0.44017728352011981</v>
      </c>
    </row>
    <row r="227" spans="1:19" x14ac:dyDescent="0.45">
      <c r="A227" t="s">
        <v>35</v>
      </c>
      <c r="B227" t="s">
        <v>37</v>
      </c>
      <c r="C227" t="s">
        <v>301</v>
      </c>
      <c r="D227" s="2">
        <v>5</v>
      </c>
      <c r="E227" s="2">
        <v>5</v>
      </c>
      <c r="F227" s="2">
        <v>1085600</v>
      </c>
      <c r="G227" s="3">
        <v>0.15815332486234646</v>
      </c>
      <c r="H227" s="3">
        <v>6.5345474022495978E-2</v>
      </c>
      <c r="I227" s="3">
        <v>4.0983606557377046E-2</v>
      </c>
      <c r="J227" s="4">
        <v>8</v>
      </c>
      <c r="K227" s="4">
        <v>8</v>
      </c>
      <c r="L227" s="4">
        <v>1696370</v>
      </c>
      <c r="M227" s="5">
        <v>0.20874929893438027</v>
      </c>
      <c r="N227" s="5">
        <v>5.2659860290166574E-2</v>
      </c>
      <c r="O227" s="5">
        <v>8.1632653061224483E-2</v>
      </c>
      <c r="P227">
        <v>3</v>
      </c>
      <c r="Q227" s="1">
        <v>0.6</v>
      </c>
      <c r="R227">
        <v>610770</v>
      </c>
      <c r="S227" s="1">
        <v>0.56261053795136329</v>
      </c>
    </row>
    <row r="228" spans="1:19" x14ac:dyDescent="0.45">
      <c r="A228" t="s">
        <v>35</v>
      </c>
      <c r="B228" t="s">
        <v>37</v>
      </c>
      <c r="C228" t="s">
        <v>302</v>
      </c>
      <c r="D228" s="2">
        <v>4</v>
      </c>
      <c r="E228" s="2">
        <v>4</v>
      </c>
      <c r="F228" s="2">
        <v>848170</v>
      </c>
      <c r="G228" s="3">
        <v>0.15815332486234646</v>
      </c>
      <c r="H228" s="3">
        <v>6.5345474022495978E-2</v>
      </c>
      <c r="I228" s="3">
        <v>3.2786885245901641E-2</v>
      </c>
      <c r="J228" s="4">
        <v>6</v>
      </c>
      <c r="K228" s="4">
        <v>6</v>
      </c>
      <c r="L228" s="4">
        <v>1334430</v>
      </c>
      <c r="M228" s="5">
        <v>0.20874929893438027</v>
      </c>
      <c r="N228" s="5">
        <v>5.2659860290166574E-2</v>
      </c>
      <c r="O228" s="5">
        <v>6.1224489795918366E-2</v>
      </c>
      <c r="P228">
        <v>2</v>
      </c>
      <c r="Q228" s="1">
        <v>0.5</v>
      </c>
      <c r="R228">
        <v>486260</v>
      </c>
      <c r="S228" s="1">
        <v>0.57330487991794099</v>
      </c>
    </row>
    <row r="229" spans="1:19" x14ac:dyDescent="0.45">
      <c r="A229" t="s">
        <v>35</v>
      </c>
      <c r="B229" t="s">
        <v>37</v>
      </c>
      <c r="C229" t="s">
        <v>303</v>
      </c>
      <c r="D229" s="2">
        <v>31</v>
      </c>
      <c r="E229" s="2">
        <v>32</v>
      </c>
      <c r="F229" s="2">
        <v>6648630</v>
      </c>
      <c r="G229" s="3">
        <v>0.15815332486234646</v>
      </c>
      <c r="H229" s="3">
        <v>6.5345474022495978E-2</v>
      </c>
      <c r="I229" s="3">
        <v>0.26229508196721313</v>
      </c>
      <c r="J229" s="4">
        <v>25</v>
      </c>
      <c r="K229" s="4">
        <v>25</v>
      </c>
      <c r="L229" s="4">
        <v>5352520</v>
      </c>
      <c r="M229" s="5">
        <v>0.20874929893438027</v>
      </c>
      <c r="N229" s="5">
        <v>5.2659860290166574E-2</v>
      </c>
      <c r="O229" s="5">
        <v>0.25510204081632654</v>
      </c>
      <c r="P229">
        <v>-7</v>
      </c>
      <c r="Q229" s="1">
        <v>-0.21875</v>
      </c>
      <c r="R229">
        <v>-1296110</v>
      </c>
      <c r="S229" s="1">
        <v>-0.19494392077766398</v>
      </c>
    </row>
    <row r="230" spans="1:19" x14ac:dyDescent="0.45">
      <c r="A230" t="s">
        <v>35</v>
      </c>
      <c r="B230" t="s">
        <v>38</v>
      </c>
      <c r="C230" t="s">
        <v>304</v>
      </c>
      <c r="D230" s="2">
        <v>3</v>
      </c>
      <c r="E230" s="2">
        <v>3</v>
      </c>
      <c r="F230" s="2">
        <v>554800</v>
      </c>
      <c r="G230" s="3">
        <v>0.15815332486234646</v>
      </c>
      <c r="H230" s="3">
        <v>2.3567220139260846E-2</v>
      </c>
      <c r="I230" s="3">
        <v>6.8181818181818177E-2</v>
      </c>
      <c r="J230" s="4">
        <v>1</v>
      </c>
      <c r="K230" s="4">
        <v>1</v>
      </c>
      <c r="L230" s="4">
        <v>186350</v>
      </c>
      <c r="M230" s="5">
        <v>0.20874929893438027</v>
      </c>
      <c r="N230" s="5">
        <v>2.418054809242343E-2</v>
      </c>
      <c r="O230" s="5">
        <v>2.2222222222222223E-2</v>
      </c>
      <c r="P230">
        <v>-2</v>
      </c>
      <c r="Q230" s="1">
        <v>-0.66666666666666663</v>
      </c>
      <c r="R230">
        <v>-368450</v>
      </c>
      <c r="S230" s="1">
        <v>-0.66411319394376356</v>
      </c>
    </row>
    <row r="231" spans="1:19" x14ac:dyDescent="0.45">
      <c r="A231" t="s">
        <v>35</v>
      </c>
      <c r="B231" t="s">
        <v>38</v>
      </c>
      <c r="C231" t="s">
        <v>305</v>
      </c>
      <c r="D231" s="2">
        <v>2</v>
      </c>
      <c r="E231" s="2">
        <v>2</v>
      </c>
      <c r="F231" s="2">
        <v>372610</v>
      </c>
      <c r="G231" s="3">
        <v>0.15815332486234646</v>
      </c>
      <c r="H231" s="3">
        <v>2.3567220139260846E-2</v>
      </c>
      <c r="I231" s="3">
        <v>4.5454545454545456E-2</v>
      </c>
      <c r="J231" s="4">
        <v>0</v>
      </c>
      <c r="K231" s="4">
        <v>0</v>
      </c>
      <c r="L231" s="4">
        <v>0</v>
      </c>
      <c r="M231" s="5">
        <v>0.20874929893438027</v>
      </c>
      <c r="N231" s="5">
        <v>2.418054809242343E-2</v>
      </c>
      <c r="O231" s="5">
        <v>0</v>
      </c>
      <c r="P231">
        <v>-2</v>
      </c>
      <c r="Q231" s="1">
        <v>-1</v>
      </c>
      <c r="R231">
        <v>-372610</v>
      </c>
      <c r="S231" s="1">
        <v>-1</v>
      </c>
    </row>
    <row r="232" spans="1:19" x14ac:dyDescent="0.45">
      <c r="A232" t="s">
        <v>35</v>
      </c>
      <c r="B232" t="s">
        <v>38</v>
      </c>
      <c r="C232" t="s">
        <v>306</v>
      </c>
      <c r="D232" s="2">
        <v>9</v>
      </c>
      <c r="E232" s="2">
        <v>9</v>
      </c>
      <c r="F232" s="2">
        <v>1616090</v>
      </c>
      <c r="G232" s="3">
        <v>0.15815332486234646</v>
      </c>
      <c r="H232" s="3">
        <v>2.3567220139260846E-2</v>
      </c>
      <c r="I232" s="3">
        <v>0.20454545454545456</v>
      </c>
      <c r="J232" s="4">
        <v>11</v>
      </c>
      <c r="K232" s="4">
        <v>11</v>
      </c>
      <c r="L232" s="4">
        <v>2007450</v>
      </c>
      <c r="M232" s="5">
        <v>0.20874929893438027</v>
      </c>
      <c r="N232" s="5">
        <v>2.418054809242343E-2</v>
      </c>
      <c r="O232" s="5">
        <v>0.24444444444444444</v>
      </c>
      <c r="P232">
        <v>2</v>
      </c>
      <c r="Q232" s="1">
        <v>0.22222222222222221</v>
      </c>
      <c r="R232">
        <v>391360</v>
      </c>
      <c r="S232" s="1">
        <v>0.24216473092463911</v>
      </c>
    </row>
    <row r="233" spans="1:19" x14ac:dyDescent="0.45">
      <c r="A233" t="s">
        <v>35</v>
      </c>
      <c r="B233" t="s">
        <v>38</v>
      </c>
      <c r="C233" t="s">
        <v>307</v>
      </c>
      <c r="D233" s="2">
        <v>6</v>
      </c>
      <c r="E233" s="2">
        <v>6</v>
      </c>
      <c r="F233" s="2">
        <v>1082320</v>
      </c>
      <c r="G233" s="3">
        <v>0.15815332486234646</v>
      </c>
      <c r="H233" s="3">
        <v>2.3567220139260846E-2</v>
      </c>
      <c r="I233" s="3">
        <v>0.13636363636363635</v>
      </c>
      <c r="J233" s="4">
        <v>11</v>
      </c>
      <c r="K233" s="4">
        <v>11</v>
      </c>
      <c r="L233" s="4">
        <v>2009910</v>
      </c>
      <c r="M233" s="5">
        <v>0.20874929893438027</v>
      </c>
      <c r="N233" s="5">
        <v>2.418054809242343E-2</v>
      </c>
      <c r="O233" s="5">
        <v>0.24444444444444444</v>
      </c>
      <c r="P233">
        <v>5</v>
      </c>
      <c r="Q233" s="1">
        <v>0.83333333333333337</v>
      </c>
      <c r="R233">
        <v>927590</v>
      </c>
      <c r="S233" s="1">
        <v>0.8570385837829847</v>
      </c>
    </row>
    <row r="234" spans="1:19" x14ac:dyDescent="0.45">
      <c r="A234" t="s">
        <v>35</v>
      </c>
      <c r="B234" t="s">
        <v>38</v>
      </c>
      <c r="C234" t="s">
        <v>308</v>
      </c>
      <c r="D234" s="2">
        <v>2</v>
      </c>
      <c r="E234" s="2">
        <v>2</v>
      </c>
      <c r="F234" s="2">
        <v>394000</v>
      </c>
      <c r="G234" s="3">
        <v>0.15815332486234646</v>
      </c>
      <c r="H234" s="3">
        <v>2.3567220139260846E-2</v>
      </c>
      <c r="I234" s="3">
        <v>4.5454545454545456E-2</v>
      </c>
      <c r="J234" s="4">
        <v>0</v>
      </c>
      <c r="K234" s="4">
        <v>0</v>
      </c>
      <c r="L234" s="4">
        <v>0</v>
      </c>
      <c r="M234" s="5">
        <v>0.20874929893438027</v>
      </c>
      <c r="N234" s="5">
        <v>2.418054809242343E-2</v>
      </c>
      <c r="O234" s="5">
        <v>0</v>
      </c>
      <c r="P234">
        <v>-2</v>
      </c>
      <c r="Q234" s="1">
        <v>-1</v>
      </c>
      <c r="R234">
        <v>-394000</v>
      </c>
      <c r="S234" s="1">
        <v>-1</v>
      </c>
    </row>
    <row r="235" spans="1:19" x14ac:dyDescent="0.45">
      <c r="A235" t="s">
        <v>35</v>
      </c>
      <c r="B235" t="s">
        <v>38</v>
      </c>
      <c r="C235" t="s">
        <v>309</v>
      </c>
      <c r="D235" s="2">
        <v>22</v>
      </c>
      <c r="E235" s="2">
        <v>22</v>
      </c>
      <c r="F235" s="2">
        <v>3963940</v>
      </c>
      <c r="G235" s="3">
        <v>0.15815332486234646</v>
      </c>
      <c r="H235" s="3">
        <v>2.3567220139260846E-2</v>
      </c>
      <c r="I235" s="3">
        <v>0.5</v>
      </c>
      <c r="J235" s="4">
        <v>22</v>
      </c>
      <c r="K235" s="4">
        <v>22</v>
      </c>
      <c r="L235" s="4">
        <v>3970730</v>
      </c>
      <c r="M235" s="5">
        <v>0.20874929893438027</v>
      </c>
      <c r="N235" s="5">
        <v>2.418054809242343E-2</v>
      </c>
      <c r="O235" s="5">
        <v>0.48888888888888887</v>
      </c>
      <c r="P235">
        <v>0</v>
      </c>
      <c r="Q235" s="1">
        <v>0</v>
      </c>
      <c r="R235">
        <v>6790</v>
      </c>
      <c r="S235" s="1">
        <v>1.7129421736958683E-3</v>
      </c>
    </row>
    <row r="236" spans="1:19" x14ac:dyDescent="0.45">
      <c r="A236" t="s">
        <v>35</v>
      </c>
      <c r="B236" t="s">
        <v>39</v>
      </c>
      <c r="C236" t="s">
        <v>310</v>
      </c>
      <c r="D236" s="2">
        <v>1</v>
      </c>
      <c r="E236" s="2">
        <v>1</v>
      </c>
      <c r="F236" s="2">
        <v>119490</v>
      </c>
      <c r="G236" s="3">
        <v>0.15815332486234646</v>
      </c>
      <c r="H236" s="3">
        <v>0.30208891269416177</v>
      </c>
      <c r="I236" s="3">
        <v>1.7730496453900709E-3</v>
      </c>
      <c r="J236" s="4">
        <v>5</v>
      </c>
      <c r="K236" s="4">
        <v>6</v>
      </c>
      <c r="L236" s="4">
        <v>745080</v>
      </c>
      <c r="M236" s="5">
        <v>0.20874929893438027</v>
      </c>
      <c r="N236" s="5">
        <v>0.32670607200429874</v>
      </c>
      <c r="O236" s="5">
        <v>9.8684210526315784E-3</v>
      </c>
      <c r="P236">
        <v>5</v>
      </c>
      <c r="Q236" s="1">
        <v>5</v>
      </c>
      <c r="R236">
        <v>625590</v>
      </c>
      <c r="S236" s="1">
        <v>5.235500878734622</v>
      </c>
    </row>
    <row r="237" spans="1:19" x14ac:dyDescent="0.45">
      <c r="A237" t="s">
        <v>35</v>
      </c>
      <c r="B237" t="s">
        <v>39</v>
      </c>
      <c r="C237" t="s">
        <v>311</v>
      </c>
      <c r="D237" s="2">
        <v>3</v>
      </c>
      <c r="E237" s="2">
        <v>4</v>
      </c>
      <c r="F237" s="2">
        <v>563610</v>
      </c>
      <c r="G237" s="3">
        <v>0.15815332486234646</v>
      </c>
      <c r="H237" s="3">
        <v>0.30208891269416177</v>
      </c>
      <c r="I237" s="3">
        <v>7.0921985815602835E-3</v>
      </c>
      <c r="J237" s="4">
        <v>1</v>
      </c>
      <c r="K237" s="4">
        <v>1</v>
      </c>
      <c r="L237" s="4">
        <v>143010</v>
      </c>
      <c r="M237" s="5">
        <v>0.20874929893438027</v>
      </c>
      <c r="N237" s="5">
        <v>0.32670607200429874</v>
      </c>
      <c r="O237" s="5">
        <v>1.6447368421052631E-3</v>
      </c>
      <c r="P237">
        <v>-3</v>
      </c>
      <c r="Q237" s="1">
        <v>-0.75</v>
      </c>
      <c r="R237">
        <v>-420600</v>
      </c>
      <c r="S237" s="1">
        <v>-0.74626071219460266</v>
      </c>
    </row>
    <row r="238" spans="1:19" x14ac:dyDescent="0.45">
      <c r="A238" t="s">
        <v>35</v>
      </c>
      <c r="B238" t="s">
        <v>39</v>
      </c>
      <c r="C238" t="s">
        <v>312</v>
      </c>
      <c r="D238" s="2">
        <v>1</v>
      </c>
      <c r="E238" s="2">
        <v>1</v>
      </c>
      <c r="F238" s="2">
        <v>193030</v>
      </c>
      <c r="G238" s="3">
        <v>0.15815332486234646</v>
      </c>
      <c r="H238" s="3">
        <v>0.30208891269416177</v>
      </c>
      <c r="I238" s="3">
        <v>1.7730496453900709E-3</v>
      </c>
      <c r="J238" s="4">
        <v>1</v>
      </c>
      <c r="K238" s="4">
        <v>1</v>
      </c>
      <c r="L238" s="4">
        <v>199000</v>
      </c>
      <c r="M238" s="5">
        <v>0.20874929893438027</v>
      </c>
      <c r="N238" s="5">
        <v>0.32670607200429874</v>
      </c>
      <c r="O238" s="5">
        <v>1.6447368421052631E-3</v>
      </c>
      <c r="P238">
        <v>0</v>
      </c>
      <c r="Q238" s="1">
        <v>0</v>
      </c>
      <c r="R238">
        <v>5970</v>
      </c>
      <c r="S238" s="1">
        <v>3.0927835051546393E-2</v>
      </c>
    </row>
    <row r="239" spans="1:19" x14ac:dyDescent="0.45">
      <c r="A239" t="s">
        <v>35</v>
      </c>
      <c r="B239" t="s">
        <v>39</v>
      </c>
      <c r="C239" t="s">
        <v>313</v>
      </c>
      <c r="D239" s="2">
        <v>0</v>
      </c>
      <c r="E239" s="2">
        <v>0</v>
      </c>
      <c r="F239" s="2">
        <v>0</v>
      </c>
      <c r="G239" s="3">
        <v>0.15815332486234646</v>
      </c>
      <c r="H239" s="3">
        <v>0.30208891269416177</v>
      </c>
      <c r="I239" s="3">
        <v>0</v>
      </c>
      <c r="J239" s="4">
        <v>1</v>
      </c>
      <c r="K239" s="4">
        <v>1</v>
      </c>
      <c r="L239" s="4">
        <v>121370</v>
      </c>
      <c r="M239" s="5">
        <v>0.20874929893438027</v>
      </c>
      <c r="N239" s="5">
        <v>0.32670607200429874</v>
      </c>
      <c r="O239" s="5">
        <v>1.6447368421052631E-3</v>
      </c>
      <c r="P239">
        <v>1</v>
      </c>
      <c r="Q239" s="1">
        <v>1</v>
      </c>
      <c r="R239">
        <v>121370</v>
      </c>
      <c r="S239" s="1">
        <v>1</v>
      </c>
    </row>
    <row r="240" spans="1:19" x14ac:dyDescent="0.45">
      <c r="A240" t="s">
        <v>35</v>
      </c>
      <c r="B240" t="s">
        <v>39</v>
      </c>
      <c r="C240" t="s">
        <v>314</v>
      </c>
      <c r="D240" s="2">
        <v>10</v>
      </c>
      <c r="E240" s="2">
        <v>10</v>
      </c>
      <c r="F240" s="2">
        <v>1239120</v>
      </c>
      <c r="G240" s="3">
        <v>0.15815332486234646</v>
      </c>
      <c r="H240" s="3">
        <v>0.30208891269416177</v>
      </c>
      <c r="I240" s="3">
        <v>1.7730496453900711E-2</v>
      </c>
      <c r="J240" s="4">
        <v>12</v>
      </c>
      <c r="K240" s="4">
        <v>15</v>
      </c>
      <c r="L240" s="4">
        <v>1800070</v>
      </c>
      <c r="M240" s="5">
        <v>0.20874929893438027</v>
      </c>
      <c r="N240" s="5">
        <v>0.32670607200429874</v>
      </c>
      <c r="O240" s="5">
        <v>2.4671052631578948E-2</v>
      </c>
      <c r="P240">
        <v>5</v>
      </c>
      <c r="Q240" s="1">
        <v>0.5</v>
      </c>
      <c r="R240">
        <v>560950</v>
      </c>
      <c r="S240" s="1">
        <v>0.45270030344115181</v>
      </c>
    </row>
    <row r="241" spans="1:19" x14ac:dyDescent="0.45">
      <c r="A241" t="s">
        <v>35</v>
      </c>
      <c r="B241" t="s">
        <v>39</v>
      </c>
      <c r="C241" t="s">
        <v>315</v>
      </c>
      <c r="D241" s="2">
        <v>5</v>
      </c>
      <c r="E241" s="2">
        <v>5</v>
      </c>
      <c r="F241" s="2">
        <v>609470</v>
      </c>
      <c r="G241" s="3">
        <v>0.15815332486234646</v>
      </c>
      <c r="H241" s="3">
        <v>0.30208891269416177</v>
      </c>
      <c r="I241" s="3">
        <v>8.8652482269503553E-3</v>
      </c>
      <c r="J241" s="4">
        <v>2</v>
      </c>
      <c r="K241" s="4">
        <v>3</v>
      </c>
      <c r="L241" s="4">
        <v>371750</v>
      </c>
      <c r="M241" s="5">
        <v>0.20874929893438027</v>
      </c>
      <c r="N241" s="5">
        <v>0.32670607200429874</v>
      </c>
      <c r="O241" s="5">
        <v>4.9342105263157892E-3</v>
      </c>
      <c r="P241">
        <v>-2</v>
      </c>
      <c r="Q241" s="1">
        <v>-0.4</v>
      </c>
      <c r="R241">
        <v>-237720</v>
      </c>
      <c r="S241" s="1">
        <v>-0.390043808554974</v>
      </c>
    </row>
    <row r="242" spans="1:19" x14ac:dyDescent="0.45">
      <c r="A242" t="s">
        <v>35</v>
      </c>
      <c r="B242" t="s">
        <v>39</v>
      </c>
      <c r="C242" t="s">
        <v>316</v>
      </c>
      <c r="D242" s="2">
        <v>1</v>
      </c>
      <c r="E242" s="2">
        <v>1</v>
      </c>
      <c r="F242" s="2">
        <v>121370</v>
      </c>
      <c r="G242" s="3">
        <v>0.15815332486234646</v>
      </c>
      <c r="H242" s="3">
        <v>0.30208891269416177</v>
      </c>
      <c r="I242" s="3">
        <v>1.7730496453900709E-3</v>
      </c>
      <c r="J242" s="4">
        <v>1</v>
      </c>
      <c r="K242" s="4">
        <v>1</v>
      </c>
      <c r="L242" s="4">
        <v>108200</v>
      </c>
      <c r="M242" s="5">
        <v>0.20874929893438027</v>
      </c>
      <c r="N242" s="5">
        <v>0.32670607200429874</v>
      </c>
      <c r="O242" s="5">
        <v>1.6447368421052631E-3</v>
      </c>
      <c r="P242">
        <v>0</v>
      </c>
      <c r="Q242" s="1">
        <v>0</v>
      </c>
      <c r="R242">
        <v>-13170</v>
      </c>
      <c r="S242" s="1">
        <v>-0.10851116420861827</v>
      </c>
    </row>
    <row r="243" spans="1:19" x14ac:dyDescent="0.45">
      <c r="A243" t="s">
        <v>35</v>
      </c>
      <c r="B243" t="s">
        <v>39</v>
      </c>
      <c r="C243" t="s">
        <v>317</v>
      </c>
      <c r="D243" s="2">
        <v>29</v>
      </c>
      <c r="E243" s="2">
        <v>35</v>
      </c>
      <c r="F243" s="2">
        <v>4210030</v>
      </c>
      <c r="G243" s="3">
        <v>0.15815332486234646</v>
      </c>
      <c r="H243" s="3">
        <v>0.30208891269416177</v>
      </c>
      <c r="I243" s="3">
        <v>6.2056737588652482E-2</v>
      </c>
      <c r="J243" s="4">
        <v>36</v>
      </c>
      <c r="K243" s="4">
        <v>53</v>
      </c>
      <c r="L243" s="4">
        <v>6359340</v>
      </c>
      <c r="M243" s="5">
        <v>0.20874929893438027</v>
      </c>
      <c r="N243" s="5">
        <v>0.32670607200429874</v>
      </c>
      <c r="O243" s="5">
        <v>8.7171052631578941E-2</v>
      </c>
      <c r="P243">
        <v>18</v>
      </c>
      <c r="Q243" s="1">
        <v>0.51428571428571423</v>
      </c>
      <c r="R243">
        <v>2149310</v>
      </c>
      <c r="S243" s="1">
        <v>0.51052130269855556</v>
      </c>
    </row>
    <row r="244" spans="1:19" x14ac:dyDescent="0.45">
      <c r="A244" t="s">
        <v>35</v>
      </c>
      <c r="B244" t="s">
        <v>39</v>
      </c>
      <c r="C244" t="s">
        <v>318</v>
      </c>
      <c r="D244" s="2">
        <v>0</v>
      </c>
      <c r="E244" s="2">
        <v>0</v>
      </c>
      <c r="F244" s="2">
        <v>0</v>
      </c>
      <c r="G244" s="3">
        <v>0.15815332486234646</v>
      </c>
      <c r="H244" s="3">
        <v>0.30208891269416177</v>
      </c>
      <c r="I244" s="3">
        <v>0</v>
      </c>
      <c r="J244" s="4">
        <v>2</v>
      </c>
      <c r="K244" s="4">
        <v>2</v>
      </c>
      <c r="L244" s="4">
        <v>284720</v>
      </c>
      <c r="M244" s="5">
        <v>0.20874929893438027</v>
      </c>
      <c r="N244" s="5">
        <v>0.32670607200429874</v>
      </c>
      <c r="O244" s="5">
        <v>3.2894736842105261E-3</v>
      </c>
      <c r="P244">
        <v>2</v>
      </c>
      <c r="Q244" s="1">
        <v>1</v>
      </c>
      <c r="R244">
        <v>284720</v>
      </c>
      <c r="S244" s="1">
        <v>1</v>
      </c>
    </row>
    <row r="245" spans="1:19" x14ac:dyDescent="0.45">
      <c r="A245" t="s">
        <v>35</v>
      </c>
      <c r="B245" t="s">
        <v>39</v>
      </c>
      <c r="C245" t="s">
        <v>319</v>
      </c>
      <c r="D245" s="2">
        <v>9</v>
      </c>
      <c r="E245" s="2">
        <v>10</v>
      </c>
      <c r="F245" s="2">
        <v>1390770</v>
      </c>
      <c r="G245" s="3">
        <v>0.15815332486234646</v>
      </c>
      <c r="H245" s="3">
        <v>0.30208891269416177</v>
      </c>
      <c r="I245" s="3">
        <v>1.7730496453900711E-2</v>
      </c>
      <c r="J245" s="4">
        <v>15</v>
      </c>
      <c r="K245" s="4">
        <v>17</v>
      </c>
      <c r="L245" s="4">
        <v>2337840</v>
      </c>
      <c r="M245" s="5">
        <v>0.20874929893438027</v>
      </c>
      <c r="N245" s="5">
        <v>0.32670607200429874</v>
      </c>
      <c r="O245" s="5">
        <v>2.7960526315789474E-2</v>
      </c>
      <c r="P245">
        <v>7</v>
      </c>
      <c r="Q245" s="1">
        <v>0.7</v>
      </c>
      <c r="R245">
        <v>947070</v>
      </c>
      <c r="S245" s="1">
        <v>0.68096809680968096</v>
      </c>
    </row>
    <row r="246" spans="1:19" x14ac:dyDescent="0.45">
      <c r="A246" t="s">
        <v>35</v>
      </c>
      <c r="B246" t="s">
        <v>39</v>
      </c>
      <c r="C246" t="s">
        <v>320</v>
      </c>
      <c r="D246" s="2">
        <v>3</v>
      </c>
      <c r="E246" s="2">
        <v>3</v>
      </c>
      <c r="F246" s="2">
        <v>413560</v>
      </c>
      <c r="G246" s="3">
        <v>0.15815332486234646</v>
      </c>
      <c r="H246" s="3">
        <v>0.30208891269416177</v>
      </c>
      <c r="I246" s="3">
        <v>5.3191489361702126E-3</v>
      </c>
      <c r="J246" s="4">
        <v>0</v>
      </c>
      <c r="K246" s="4">
        <v>0</v>
      </c>
      <c r="L246" s="4">
        <v>4340</v>
      </c>
      <c r="M246" s="5">
        <v>0.20874929893438027</v>
      </c>
      <c r="N246" s="5">
        <v>0.32670607200429874</v>
      </c>
      <c r="O246" s="5">
        <v>0</v>
      </c>
      <c r="P246">
        <v>-3</v>
      </c>
      <c r="Q246" s="1">
        <v>-1</v>
      </c>
      <c r="R246">
        <v>-409220</v>
      </c>
      <c r="S246" s="1">
        <v>-0.98950575490859849</v>
      </c>
    </row>
    <row r="247" spans="1:19" x14ac:dyDescent="0.45">
      <c r="A247" t="s">
        <v>35</v>
      </c>
      <c r="B247" t="s">
        <v>39</v>
      </c>
      <c r="C247" t="s">
        <v>321</v>
      </c>
      <c r="D247" s="2">
        <v>2</v>
      </c>
      <c r="E247" s="2">
        <v>5</v>
      </c>
      <c r="F247" s="2">
        <v>719670</v>
      </c>
      <c r="G247" s="3">
        <v>0.15815332486234646</v>
      </c>
      <c r="H247" s="3">
        <v>0.30208891269416177</v>
      </c>
      <c r="I247" s="3">
        <v>8.8652482269503553E-3</v>
      </c>
      <c r="J247" s="4">
        <v>2</v>
      </c>
      <c r="K247" s="4">
        <v>2</v>
      </c>
      <c r="L247" s="4">
        <v>281830</v>
      </c>
      <c r="M247" s="5">
        <v>0.20874929893438027</v>
      </c>
      <c r="N247" s="5">
        <v>0.32670607200429874</v>
      </c>
      <c r="O247" s="5">
        <v>3.2894736842105261E-3</v>
      </c>
      <c r="P247">
        <v>-3</v>
      </c>
      <c r="Q247" s="1">
        <v>-0.6</v>
      </c>
      <c r="R247">
        <v>-437840</v>
      </c>
      <c r="S247" s="1">
        <v>-0.60838995650784389</v>
      </c>
    </row>
    <row r="248" spans="1:19" x14ac:dyDescent="0.45">
      <c r="A248" t="s">
        <v>35</v>
      </c>
      <c r="B248" t="s">
        <v>39</v>
      </c>
      <c r="C248" t="s">
        <v>322</v>
      </c>
      <c r="D248" s="2">
        <v>32</v>
      </c>
      <c r="E248" s="2">
        <v>35</v>
      </c>
      <c r="F248" s="2">
        <v>4846140</v>
      </c>
      <c r="G248" s="3">
        <v>0.15815332486234646</v>
      </c>
      <c r="H248" s="3">
        <v>0.30208891269416177</v>
      </c>
      <c r="I248" s="3">
        <v>6.2056737588652482E-2</v>
      </c>
      <c r="J248" s="4">
        <v>33</v>
      </c>
      <c r="K248" s="4">
        <v>35</v>
      </c>
      <c r="L248" s="4">
        <v>4868800</v>
      </c>
      <c r="M248" s="5">
        <v>0.20874929893438027</v>
      </c>
      <c r="N248" s="5">
        <v>0.32670607200429874</v>
      </c>
      <c r="O248" s="5">
        <v>5.7565789473684209E-2</v>
      </c>
      <c r="P248">
        <v>0</v>
      </c>
      <c r="Q248" s="1">
        <v>0</v>
      </c>
      <c r="R248">
        <v>22660</v>
      </c>
      <c r="S248" s="1">
        <v>4.6758863755483743E-3</v>
      </c>
    </row>
    <row r="249" spans="1:19" x14ac:dyDescent="0.45">
      <c r="A249" t="s">
        <v>35</v>
      </c>
      <c r="B249" t="s">
        <v>39</v>
      </c>
      <c r="C249" t="s">
        <v>323</v>
      </c>
      <c r="D249" s="2">
        <v>1</v>
      </c>
      <c r="E249" s="2">
        <v>1</v>
      </c>
      <c r="F249" s="2">
        <v>156420</v>
      </c>
      <c r="G249" s="3">
        <v>0.15815332486234646</v>
      </c>
      <c r="H249" s="3">
        <v>0.30208891269416177</v>
      </c>
      <c r="I249" s="3">
        <v>1.7730496453900709E-3</v>
      </c>
      <c r="J249" s="4">
        <v>2</v>
      </c>
      <c r="K249" s="4">
        <v>2</v>
      </c>
      <c r="L249" s="4">
        <v>321070</v>
      </c>
      <c r="M249" s="5">
        <v>0.20874929893438027</v>
      </c>
      <c r="N249" s="5">
        <v>0.32670607200429874</v>
      </c>
      <c r="O249" s="5">
        <v>3.2894736842105261E-3</v>
      </c>
      <c r="P249">
        <v>1</v>
      </c>
      <c r="Q249" s="1">
        <v>1</v>
      </c>
      <c r="R249">
        <v>164650</v>
      </c>
      <c r="S249" s="1">
        <v>1.0526147551464007</v>
      </c>
    </row>
    <row r="250" spans="1:19" x14ac:dyDescent="0.45">
      <c r="A250" t="s">
        <v>35</v>
      </c>
      <c r="B250" t="s">
        <v>39</v>
      </c>
      <c r="C250" t="s">
        <v>324</v>
      </c>
      <c r="D250" s="2">
        <v>12</v>
      </c>
      <c r="E250" s="2">
        <v>12</v>
      </c>
      <c r="F250" s="2">
        <v>1990260</v>
      </c>
      <c r="G250" s="3">
        <v>0.15815332486234646</v>
      </c>
      <c r="H250" s="3">
        <v>0.30208891269416177</v>
      </c>
      <c r="I250" s="3">
        <v>2.1276595744680851E-2</v>
      </c>
      <c r="J250" s="4">
        <v>10</v>
      </c>
      <c r="K250" s="4">
        <v>11</v>
      </c>
      <c r="L250" s="4">
        <v>1777570</v>
      </c>
      <c r="M250" s="5">
        <v>0.20874929893438027</v>
      </c>
      <c r="N250" s="5">
        <v>0.32670607200429874</v>
      </c>
      <c r="O250" s="5">
        <v>1.8092105263157895E-2</v>
      </c>
      <c r="P250">
        <v>-1</v>
      </c>
      <c r="Q250" s="1">
        <v>-8.3333333333333329E-2</v>
      </c>
      <c r="R250">
        <v>-212690</v>
      </c>
      <c r="S250" s="1">
        <v>-0.10686543466682745</v>
      </c>
    </row>
    <row r="251" spans="1:19" x14ac:dyDescent="0.45">
      <c r="A251" t="s">
        <v>35</v>
      </c>
      <c r="B251" t="s">
        <v>39</v>
      </c>
      <c r="C251" t="s">
        <v>325</v>
      </c>
      <c r="D251" s="2">
        <v>3</v>
      </c>
      <c r="E251" s="2">
        <v>3</v>
      </c>
      <c r="F251" s="2">
        <v>482590</v>
      </c>
      <c r="G251" s="3">
        <v>0.15815332486234646</v>
      </c>
      <c r="H251" s="3">
        <v>0.30208891269416177</v>
      </c>
      <c r="I251" s="3">
        <v>5.3191489361702126E-3</v>
      </c>
      <c r="J251" s="4">
        <v>5</v>
      </c>
      <c r="K251" s="4">
        <v>6</v>
      </c>
      <c r="L251" s="4">
        <v>1000870</v>
      </c>
      <c r="M251" s="5">
        <v>0.20874929893438027</v>
      </c>
      <c r="N251" s="5">
        <v>0.32670607200429874</v>
      </c>
      <c r="O251" s="5">
        <v>9.8684210526315784E-3</v>
      </c>
      <c r="P251">
        <v>3</v>
      </c>
      <c r="Q251" s="1">
        <v>1</v>
      </c>
      <c r="R251">
        <v>518280</v>
      </c>
      <c r="S251" s="1">
        <v>1.0739551171802151</v>
      </c>
    </row>
    <row r="252" spans="1:19" x14ac:dyDescent="0.45">
      <c r="A252" t="s">
        <v>35</v>
      </c>
      <c r="B252" t="s">
        <v>39</v>
      </c>
      <c r="C252" t="s">
        <v>326</v>
      </c>
      <c r="D252" s="2">
        <v>1</v>
      </c>
      <c r="E252" s="2">
        <v>1</v>
      </c>
      <c r="F252" s="2">
        <v>164670</v>
      </c>
      <c r="G252" s="3">
        <v>0.15815332486234646</v>
      </c>
      <c r="H252" s="3">
        <v>0.30208891269416177</v>
      </c>
      <c r="I252" s="3">
        <v>1.7730496453900709E-3</v>
      </c>
      <c r="J252" s="4">
        <v>2</v>
      </c>
      <c r="K252" s="4">
        <v>2</v>
      </c>
      <c r="L252" s="4">
        <v>326150</v>
      </c>
      <c r="M252" s="5">
        <v>0.20874929893438027</v>
      </c>
      <c r="N252" s="5">
        <v>0.32670607200429874</v>
      </c>
      <c r="O252" s="5">
        <v>3.2894736842105261E-3</v>
      </c>
      <c r="P252">
        <v>1</v>
      </c>
      <c r="Q252" s="1">
        <v>1</v>
      </c>
      <c r="R252">
        <v>161480</v>
      </c>
      <c r="S252" s="1">
        <v>0.98062792251169006</v>
      </c>
    </row>
    <row r="253" spans="1:19" x14ac:dyDescent="0.45">
      <c r="A253" t="s">
        <v>35</v>
      </c>
      <c r="B253" t="s">
        <v>39</v>
      </c>
      <c r="C253" t="s">
        <v>327</v>
      </c>
      <c r="D253" s="2">
        <v>26</v>
      </c>
      <c r="E253" s="2">
        <v>26</v>
      </c>
      <c r="F253" s="2">
        <v>4203120</v>
      </c>
      <c r="G253" s="3">
        <v>0.15815332486234646</v>
      </c>
      <c r="H253" s="3">
        <v>0.30208891269416177</v>
      </c>
      <c r="I253" s="3">
        <v>4.6099290780141841E-2</v>
      </c>
      <c r="J253" s="4">
        <v>24</v>
      </c>
      <c r="K253" s="4">
        <v>27</v>
      </c>
      <c r="L253" s="4">
        <v>4422780</v>
      </c>
      <c r="M253" s="5">
        <v>0.20874929893438027</v>
      </c>
      <c r="N253" s="5">
        <v>0.32670607200429874</v>
      </c>
      <c r="O253" s="5">
        <v>4.4407894736842105E-2</v>
      </c>
      <c r="P253">
        <v>1</v>
      </c>
      <c r="Q253" s="1">
        <v>3.8461538461538464E-2</v>
      </c>
      <c r="R253">
        <v>219660</v>
      </c>
      <c r="S253" s="1">
        <v>5.2261177411066062E-2</v>
      </c>
    </row>
    <row r="254" spans="1:19" x14ac:dyDescent="0.45">
      <c r="A254" t="s">
        <v>35</v>
      </c>
      <c r="B254" t="s">
        <v>39</v>
      </c>
      <c r="C254" t="s">
        <v>328</v>
      </c>
      <c r="D254" s="2">
        <v>1</v>
      </c>
      <c r="E254" s="2">
        <v>1</v>
      </c>
      <c r="F254" s="2">
        <v>93150</v>
      </c>
      <c r="G254" s="3">
        <v>0.15815332486234646</v>
      </c>
      <c r="H254" s="3">
        <v>0.30208891269416177</v>
      </c>
      <c r="I254" s="3">
        <v>1.7730496453900709E-3</v>
      </c>
      <c r="J254" s="4">
        <v>2</v>
      </c>
      <c r="K254" s="4">
        <v>2</v>
      </c>
      <c r="L254" s="4">
        <v>179850</v>
      </c>
      <c r="M254" s="5">
        <v>0.20874929893438027</v>
      </c>
      <c r="N254" s="5">
        <v>0.32670607200429874</v>
      </c>
      <c r="O254" s="5">
        <v>3.2894736842105261E-3</v>
      </c>
      <c r="P254">
        <v>1</v>
      </c>
      <c r="Q254" s="1">
        <v>1</v>
      </c>
      <c r="R254">
        <v>86700</v>
      </c>
      <c r="S254" s="1">
        <v>0.93075684380032209</v>
      </c>
    </row>
    <row r="255" spans="1:19" x14ac:dyDescent="0.45">
      <c r="A255" t="s">
        <v>35</v>
      </c>
      <c r="B255" t="s">
        <v>39</v>
      </c>
      <c r="C255" t="s">
        <v>329</v>
      </c>
      <c r="D255" s="2">
        <v>9</v>
      </c>
      <c r="E255" s="2">
        <v>9</v>
      </c>
      <c r="F255" s="2">
        <v>837510</v>
      </c>
      <c r="G255" s="3">
        <v>0.15815332486234646</v>
      </c>
      <c r="H255" s="3">
        <v>0.30208891269416177</v>
      </c>
      <c r="I255" s="3">
        <v>1.5957446808510637E-2</v>
      </c>
      <c r="J255" s="4">
        <v>11</v>
      </c>
      <c r="K255" s="4">
        <v>12</v>
      </c>
      <c r="L255" s="4">
        <v>1110030</v>
      </c>
      <c r="M255" s="5">
        <v>0.20874929893438027</v>
      </c>
      <c r="N255" s="5">
        <v>0.32670607200429874</v>
      </c>
      <c r="O255" s="5">
        <v>1.9736842105263157E-2</v>
      </c>
      <c r="P255">
        <v>3</v>
      </c>
      <c r="Q255" s="1">
        <v>0.33333333333333331</v>
      </c>
      <c r="R255">
        <v>272520</v>
      </c>
      <c r="S255" s="1">
        <v>0.32539312963427303</v>
      </c>
    </row>
    <row r="256" spans="1:19" x14ac:dyDescent="0.45">
      <c r="A256" t="s">
        <v>35</v>
      </c>
      <c r="B256" t="s">
        <v>39</v>
      </c>
      <c r="C256" t="s">
        <v>330</v>
      </c>
      <c r="D256" s="2">
        <v>2</v>
      </c>
      <c r="E256" s="2">
        <v>2</v>
      </c>
      <c r="F256" s="2">
        <v>188170</v>
      </c>
      <c r="G256" s="3">
        <v>0.15815332486234646</v>
      </c>
      <c r="H256" s="3">
        <v>0.30208891269416177</v>
      </c>
      <c r="I256" s="3">
        <v>3.5460992907801418E-3</v>
      </c>
      <c r="J256" s="4">
        <v>4</v>
      </c>
      <c r="K256" s="4">
        <v>4</v>
      </c>
      <c r="L256" s="4">
        <v>381300</v>
      </c>
      <c r="M256" s="5">
        <v>0.20874929893438027</v>
      </c>
      <c r="N256" s="5">
        <v>0.32670607200429874</v>
      </c>
      <c r="O256" s="5">
        <v>6.5789473684210523E-3</v>
      </c>
      <c r="P256">
        <v>2</v>
      </c>
      <c r="Q256" s="1">
        <v>1</v>
      </c>
      <c r="R256">
        <v>193130</v>
      </c>
      <c r="S256" s="1">
        <v>1.0263591433278418</v>
      </c>
    </row>
    <row r="257" spans="1:19" x14ac:dyDescent="0.45">
      <c r="A257" t="s">
        <v>35</v>
      </c>
      <c r="B257" t="s">
        <v>39</v>
      </c>
      <c r="C257" t="s">
        <v>331</v>
      </c>
      <c r="D257" s="2">
        <v>0</v>
      </c>
      <c r="E257" s="2">
        <v>0</v>
      </c>
      <c r="F257" s="2">
        <v>0</v>
      </c>
      <c r="G257" s="3">
        <v>0.15815332486234646</v>
      </c>
      <c r="H257" s="3">
        <v>0.30208891269416177</v>
      </c>
      <c r="I257" s="3">
        <v>0</v>
      </c>
      <c r="J257" s="4">
        <v>3</v>
      </c>
      <c r="K257" s="4">
        <v>3</v>
      </c>
      <c r="L257" s="4">
        <v>273900</v>
      </c>
      <c r="M257" s="5">
        <v>0.20874929893438027</v>
      </c>
      <c r="N257" s="5">
        <v>0.32670607200429874</v>
      </c>
      <c r="O257" s="5">
        <v>4.9342105263157892E-3</v>
      </c>
      <c r="P257">
        <v>3</v>
      </c>
      <c r="Q257" s="1">
        <v>1</v>
      </c>
      <c r="R257">
        <v>273900</v>
      </c>
      <c r="S257" s="1">
        <v>1</v>
      </c>
    </row>
    <row r="258" spans="1:19" x14ac:dyDescent="0.45">
      <c r="A258" t="s">
        <v>35</v>
      </c>
      <c r="B258" t="s">
        <v>39</v>
      </c>
      <c r="C258" t="s">
        <v>332</v>
      </c>
      <c r="D258" s="2">
        <v>15</v>
      </c>
      <c r="E258" s="2">
        <v>21</v>
      </c>
      <c r="F258" s="2">
        <v>1937400</v>
      </c>
      <c r="G258" s="3">
        <v>0.15815332486234646</v>
      </c>
      <c r="H258" s="3">
        <v>0.30208891269416177</v>
      </c>
      <c r="I258" s="3">
        <v>3.7234042553191488E-2</v>
      </c>
      <c r="J258" s="4">
        <v>19</v>
      </c>
      <c r="K258" s="4">
        <v>24</v>
      </c>
      <c r="L258" s="4">
        <v>2292910</v>
      </c>
      <c r="M258" s="5">
        <v>0.20874929893438027</v>
      </c>
      <c r="N258" s="5">
        <v>0.32670607200429874</v>
      </c>
      <c r="O258" s="5">
        <v>3.9473684210526314E-2</v>
      </c>
      <c r="P258">
        <v>3</v>
      </c>
      <c r="Q258" s="1">
        <v>0.14285714285714285</v>
      </c>
      <c r="R258">
        <v>355510</v>
      </c>
      <c r="S258" s="1">
        <v>0.1834985031485496</v>
      </c>
    </row>
    <row r="259" spans="1:19" x14ac:dyDescent="0.45">
      <c r="A259" t="s">
        <v>35</v>
      </c>
      <c r="B259" t="s">
        <v>39</v>
      </c>
      <c r="C259" t="s">
        <v>333</v>
      </c>
      <c r="D259" s="2">
        <v>8</v>
      </c>
      <c r="E259" s="2">
        <v>8</v>
      </c>
      <c r="F259" s="2">
        <v>828170</v>
      </c>
      <c r="G259" s="3">
        <v>0.15815332486234646</v>
      </c>
      <c r="H259" s="3">
        <v>0.30208891269416177</v>
      </c>
      <c r="I259" s="3">
        <v>1.4184397163120567E-2</v>
      </c>
      <c r="J259" s="4">
        <v>3</v>
      </c>
      <c r="K259" s="4">
        <v>3</v>
      </c>
      <c r="L259" s="4">
        <v>308980</v>
      </c>
      <c r="M259" s="5">
        <v>0.20874929893438027</v>
      </c>
      <c r="N259" s="5">
        <v>0.32670607200429874</v>
      </c>
      <c r="O259" s="5">
        <v>4.9342105263157892E-3</v>
      </c>
      <c r="P259">
        <v>-5</v>
      </c>
      <c r="Q259" s="1">
        <v>-0.625</v>
      </c>
      <c r="R259">
        <v>-519190</v>
      </c>
      <c r="S259" s="1">
        <v>-0.62691234891387038</v>
      </c>
    </row>
    <row r="260" spans="1:19" x14ac:dyDescent="0.45">
      <c r="A260" t="s">
        <v>35</v>
      </c>
      <c r="B260" t="s">
        <v>39</v>
      </c>
      <c r="C260" t="s">
        <v>334</v>
      </c>
      <c r="D260" s="2">
        <v>40</v>
      </c>
      <c r="E260" s="2">
        <v>42</v>
      </c>
      <c r="F260" s="2">
        <v>4327100</v>
      </c>
      <c r="G260" s="3">
        <v>0.15815332486234646</v>
      </c>
      <c r="H260" s="3">
        <v>0.30208891269416177</v>
      </c>
      <c r="I260" s="3">
        <v>7.4468085106382975E-2</v>
      </c>
      <c r="J260" s="4">
        <v>25</v>
      </c>
      <c r="K260" s="4">
        <v>26</v>
      </c>
      <c r="L260" s="4">
        <v>2647820</v>
      </c>
      <c r="M260" s="5">
        <v>0.20874929893438027</v>
      </c>
      <c r="N260" s="5">
        <v>0.32670607200429874</v>
      </c>
      <c r="O260" s="5">
        <v>4.2763157894736843E-2</v>
      </c>
      <c r="P260">
        <v>-16</v>
      </c>
      <c r="Q260" s="1">
        <v>-0.38095238095238093</v>
      </c>
      <c r="R260">
        <v>-1679280</v>
      </c>
      <c r="S260" s="1">
        <v>-0.38808439832682395</v>
      </c>
    </row>
    <row r="261" spans="1:19" x14ac:dyDescent="0.45">
      <c r="A261" t="s">
        <v>35</v>
      </c>
      <c r="B261" t="s">
        <v>39</v>
      </c>
      <c r="C261" t="s">
        <v>335</v>
      </c>
      <c r="D261" s="2">
        <v>9</v>
      </c>
      <c r="E261" s="2">
        <v>10</v>
      </c>
      <c r="F261" s="2">
        <v>1026210</v>
      </c>
      <c r="G261" s="3">
        <v>0.15815332486234646</v>
      </c>
      <c r="H261" s="3">
        <v>0.30208891269416177</v>
      </c>
      <c r="I261" s="3">
        <v>1.7730496453900711E-2</v>
      </c>
      <c r="J261" s="4">
        <v>8</v>
      </c>
      <c r="K261" s="4">
        <v>8</v>
      </c>
      <c r="L261" s="4">
        <v>842940</v>
      </c>
      <c r="M261" s="5">
        <v>0.20874929893438027</v>
      </c>
      <c r="N261" s="5">
        <v>0.32670607200429874</v>
      </c>
      <c r="O261" s="5">
        <v>1.3157894736842105E-2</v>
      </c>
      <c r="P261">
        <v>-2</v>
      </c>
      <c r="Q261" s="1">
        <v>-0.2</v>
      </c>
      <c r="R261">
        <v>-183270</v>
      </c>
      <c r="S261" s="1">
        <v>-0.17858917765369661</v>
      </c>
    </row>
    <row r="262" spans="1:19" x14ac:dyDescent="0.45">
      <c r="A262" t="s">
        <v>35</v>
      </c>
      <c r="B262" t="s">
        <v>39</v>
      </c>
      <c r="C262" t="s">
        <v>336</v>
      </c>
      <c r="D262" s="2">
        <v>6</v>
      </c>
      <c r="E262" s="2">
        <v>7</v>
      </c>
      <c r="F262" s="2">
        <v>715370</v>
      </c>
      <c r="G262" s="3">
        <v>0.15815332486234646</v>
      </c>
      <c r="H262" s="3">
        <v>0.30208891269416177</v>
      </c>
      <c r="I262" s="3">
        <v>1.2411347517730497E-2</v>
      </c>
      <c r="J262" s="4">
        <v>14</v>
      </c>
      <c r="K262" s="4">
        <v>16</v>
      </c>
      <c r="L262" s="4">
        <v>1654920</v>
      </c>
      <c r="M262" s="5">
        <v>0.20874929893438027</v>
      </c>
      <c r="N262" s="5">
        <v>0.32670607200429874</v>
      </c>
      <c r="O262" s="5">
        <v>2.6315789473684209E-2</v>
      </c>
      <c r="P262">
        <v>9</v>
      </c>
      <c r="Q262" s="1">
        <v>1.2857142857142858</v>
      </c>
      <c r="R262">
        <v>939550</v>
      </c>
      <c r="S262" s="1">
        <v>1.3133762947845171</v>
      </c>
    </row>
    <row r="263" spans="1:19" x14ac:dyDescent="0.45">
      <c r="A263" t="s">
        <v>35</v>
      </c>
      <c r="B263" t="s">
        <v>39</v>
      </c>
      <c r="C263" t="s">
        <v>337</v>
      </c>
      <c r="D263" s="2">
        <v>113</v>
      </c>
      <c r="E263" s="2">
        <v>135</v>
      </c>
      <c r="F263" s="2">
        <v>13929330</v>
      </c>
      <c r="G263" s="3">
        <v>0.15815332486234646</v>
      </c>
      <c r="H263" s="3">
        <v>0.30208891269416177</v>
      </c>
      <c r="I263" s="3">
        <v>0.23936170212765959</v>
      </c>
      <c r="J263" s="4">
        <v>139</v>
      </c>
      <c r="K263" s="4">
        <v>178</v>
      </c>
      <c r="L263" s="4">
        <v>18135980</v>
      </c>
      <c r="M263" s="5">
        <v>0.20874929893438027</v>
      </c>
      <c r="N263" s="5">
        <v>0.32670607200429874</v>
      </c>
      <c r="O263" s="5">
        <v>0.29276315789473684</v>
      </c>
      <c r="P263">
        <v>43</v>
      </c>
      <c r="Q263" s="1">
        <v>0.31851851851851853</v>
      </c>
      <c r="R263">
        <v>4206650</v>
      </c>
      <c r="S263" s="1">
        <v>0.30199945008123147</v>
      </c>
    </row>
    <row r="264" spans="1:19" x14ac:dyDescent="0.45">
      <c r="A264" t="s">
        <v>35</v>
      </c>
      <c r="B264" t="s">
        <v>39</v>
      </c>
      <c r="C264" t="s">
        <v>338</v>
      </c>
      <c r="D264" s="2">
        <v>3</v>
      </c>
      <c r="E264" s="2">
        <v>3</v>
      </c>
      <c r="F264" s="2">
        <v>365370</v>
      </c>
      <c r="G264" s="3">
        <v>0.15815332486234646</v>
      </c>
      <c r="H264" s="3">
        <v>0.30208891269416177</v>
      </c>
      <c r="I264" s="3">
        <v>5.3191489361702126E-3</v>
      </c>
      <c r="J264" s="4">
        <v>2</v>
      </c>
      <c r="K264" s="4">
        <v>2</v>
      </c>
      <c r="L264" s="4">
        <v>246500</v>
      </c>
      <c r="M264" s="5">
        <v>0.20874929893438027</v>
      </c>
      <c r="N264" s="5">
        <v>0.32670607200429874</v>
      </c>
      <c r="O264" s="5">
        <v>3.2894736842105261E-3</v>
      </c>
      <c r="P264">
        <v>-1</v>
      </c>
      <c r="Q264" s="1">
        <v>-0.33333333333333331</v>
      </c>
      <c r="R264">
        <v>-118870</v>
      </c>
      <c r="S264" s="1">
        <v>-0.32534143471001997</v>
      </c>
    </row>
    <row r="265" spans="1:19" x14ac:dyDescent="0.45">
      <c r="A265" t="s">
        <v>35</v>
      </c>
      <c r="B265" t="s">
        <v>39</v>
      </c>
      <c r="C265" t="s">
        <v>339</v>
      </c>
      <c r="D265" s="2">
        <v>11</v>
      </c>
      <c r="E265" s="2">
        <v>11</v>
      </c>
      <c r="F265" s="2">
        <v>1309730</v>
      </c>
      <c r="G265" s="3">
        <v>0.15815332486234646</v>
      </c>
      <c r="H265" s="3">
        <v>0.30208891269416177</v>
      </c>
      <c r="I265" s="3">
        <v>1.9503546099290781E-2</v>
      </c>
      <c r="J265" s="4">
        <v>5</v>
      </c>
      <c r="K265" s="4">
        <v>6</v>
      </c>
      <c r="L265" s="4">
        <v>706990</v>
      </c>
      <c r="M265" s="5">
        <v>0.20874929893438027</v>
      </c>
      <c r="N265" s="5">
        <v>0.32670607200429874</v>
      </c>
      <c r="O265" s="5">
        <v>9.8684210526315784E-3</v>
      </c>
      <c r="P265">
        <v>-5</v>
      </c>
      <c r="Q265" s="1">
        <v>-0.45454545454545453</v>
      </c>
      <c r="R265">
        <v>-602740</v>
      </c>
      <c r="S265" s="1">
        <v>-0.4602017209653898</v>
      </c>
    </row>
    <row r="266" spans="1:19" x14ac:dyDescent="0.45">
      <c r="A266" t="s">
        <v>35</v>
      </c>
      <c r="B266" t="s">
        <v>39</v>
      </c>
      <c r="C266" t="s">
        <v>340</v>
      </c>
      <c r="D266" s="2">
        <v>3</v>
      </c>
      <c r="E266" s="2">
        <v>4</v>
      </c>
      <c r="F266" s="2">
        <v>500630</v>
      </c>
      <c r="G266" s="3">
        <v>0.15815332486234646</v>
      </c>
      <c r="H266" s="3">
        <v>0.30208891269416177</v>
      </c>
      <c r="I266" s="3">
        <v>7.0921985815602835E-3</v>
      </c>
      <c r="J266" s="4">
        <v>0</v>
      </c>
      <c r="K266" s="4">
        <v>0</v>
      </c>
      <c r="L266" s="4">
        <v>0</v>
      </c>
      <c r="M266" s="5">
        <v>0.20874929893438027</v>
      </c>
      <c r="N266" s="5">
        <v>0.32670607200429874</v>
      </c>
      <c r="O266" s="5">
        <v>0</v>
      </c>
      <c r="P266">
        <v>-4</v>
      </c>
      <c r="Q266" s="1">
        <v>-1</v>
      </c>
      <c r="R266">
        <v>-500630</v>
      </c>
      <c r="S266" s="1">
        <v>-1</v>
      </c>
    </row>
    <row r="267" spans="1:19" x14ac:dyDescent="0.45">
      <c r="A267" t="s">
        <v>35</v>
      </c>
      <c r="B267" t="s">
        <v>39</v>
      </c>
      <c r="C267" t="s">
        <v>341</v>
      </c>
      <c r="D267" s="2">
        <v>5</v>
      </c>
      <c r="E267" s="2">
        <v>6</v>
      </c>
      <c r="F267" s="2">
        <v>738550</v>
      </c>
      <c r="G267" s="3">
        <v>0.15815332486234646</v>
      </c>
      <c r="H267" s="3">
        <v>0.30208891269416177</v>
      </c>
      <c r="I267" s="3">
        <v>1.0638297872340425E-2</v>
      </c>
      <c r="J267" s="4">
        <v>5</v>
      </c>
      <c r="K267" s="4">
        <v>5</v>
      </c>
      <c r="L267" s="4">
        <v>606650</v>
      </c>
      <c r="M267" s="5">
        <v>0.20874929893438027</v>
      </c>
      <c r="N267" s="5">
        <v>0.32670607200429874</v>
      </c>
      <c r="O267" s="5">
        <v>8.2236842105263153E-3</v>
      </c>
      <c r="P267">
        <v>-1</v>
      </c>
      <c r="Q267" s="1">
        <v>-0.16666666666666666</v>
      </c>
      <c r="R267">
        <v>-131900</v>
      </c>
      <c r="S267" s="1">
        <v>-0.17859318935752488</v>
      </c>
    </row>
    <row r="268" spans="1:19" x14ac:dyDescent="0.45">
      <c r="A268" t="s">
        <v>35</v>
      </c>
      <c r="B268" t="s">
        <v>39</v>
      </c>
      <c r="C268" t="s">
        <v>342</v>
      </c>
      <c r="D268" s="2">
        <v>32</v>
      </c>
      <c r="E268" s="2">
        <v>36</v>
      </c>
      <c r="F268" s="2">
        <v>4345020</v>
      </c>
      <c r="G268" s="3">
        <v>0.15815332486234646</v>
      </c>
      <c r="H268" s="3">
        <v>0.30208891269416177</v>
      </c>
      <c r="I268" s="3">
        <v>6.3829787234042548E-2</v>
      </c>
      <c r="J268" s="4">
        <v>36</v>
      </c>
      <c r="K268" s="4">
        <v>41</v>
      </c>
      <c r="L268" s="4">
        <v>4972750</v>
      </c>
      <c r="M268" s="5">
        <v>0.20874929893438027</v>
      </c>
      <c r="N268" s="5">
        <v>0.32670607200429874</v>
      </c>
      <c r="O268" s="5">
        <v>6.7434210526315791E-2</v>
      </c>
      <c r="P268">
        <v>5</v>
      </c>
      <c r="Q268" s="1">
        <v>0.1388888888888889</v>
      </c>
      <c r="R268">
        <v>627730</v>
      </c>
      <c r="S268" s="1">
        <v>0.14447114167483693</v>
      </c>
    </row>
    <row r="269" spans="1:19" x14ac:dyDescent="0.45">
      <c r="A269" t="s">
        <v>35</v>
      </c>
      <c r="B269" t="s">
        <v>39</v>
      </c>
      <c r="C269" t="s">
        <v>343</v>
      </c>
      <c r="D269" s="2">
        <v>2</v>
      </c>
      <c r="E269" s="2">
        <v>2</v>
      </c>
      <c r="F269" s="2">
        <v>181530</v>
      </c>
      <c r="G269" s="3">
        <v>0.15815332486234646</v>
      </c>
      <c r="H269" s="3">
        <v>0.30208891269416177</v>
      </c>
      <c r="I269" s="3">
        <v>3.5460992907801418E-3</v>
      </c>
      <c r="J269" s="4">
        <v>8</v>
      </c>
      <c r="K269" s="4">
        <v>8</v>
      </c>
      <c r="L269" s="4">
        <v>722790</v>
      </c>
      <c r="M269" s="5">
        <v>0.20874929893438027</v>
      </c>
      <c r="N269" s="5">
        <v>0.32670607200429874</v>
      </c>
      <c r="O269" s="5">
        <v>1.3157894736842105E-2</v>
      </c>
      <c r="P269">
        <v>6</v>
      </c>
      <c r="Q269" s="1">
        <v>3</v>
      </c>
      <c r="R269">
        <v>541260</v>
      </c>
      <c r="S269" s="1">
        <v>2.9816559246405552</v>
      </c>
    </row>
    <row r="270" spans="1:19" x14ac:dyDescent="0.45">
      <c r="A270" t="s">
        <v>35</v>
      </c>
      <c r="B270" t="s">
        <v>39</v>
      </c>
      <c r="C270" t="s">
        <v>344</v>
      </c>
      <c r="D270" s="2">
        <v>27</v>
      </c>
      <c r="E270" s="2">
        <v>28</v>
      </c>
      <c r="F270" s="2">
        <v>2509000</v>
      </c>
      <c r="G270" s="3">
        <v>0.15815332486234646</v>
      </c>
      <c r="H270" s="3">
        <v>0.30208891269416177</v>
      </c>
      <c r="I270" s="3">
        <v>4.9645390070921988E-2</v>
      </c>
      <c r="J270" s="4">
        <v>19</v>
      </c>
      <c r="K270" s="4">
        <v>19</v>
      </c>
      <c r="L270" s="4">
        <v>1692530</v>
      </c>
      <c r="M270" s="5">
        <v>0.20874929893438027</v>
      </c>
      <c r="N270" s="5">
        <v>0.32670607200429874</v>
      </c>
      <c r="O270" s="5">
        <v>3.125E-2</v>
      </c>
      <c r="P270">
        <v>-9</v>
      </c>
      <c r="Q270" s="1">
        <v>-0.32142857142857145</v>
      </c>
      <c r="R270">
        <v>-816470</v>
      </c>
      <c r="S270" s="1">
        <v>-0.32541650059784777</v>
      </c>
    </row>
    <row r="271" spans="1:19" x14ac:dyDescent="0.45">
      <c r="A271" t="s">
        <v>35</v>
      </c>
      <c r="B271" t="s">
        <v>39</v>
      </c>
      <c r="C271" t="s">
        <v>345</v>
      </c>
      <c r="D271" s="2">
        <v>3</v>
      </c>
      <c r="E271" s="2">
        <v>15</v>
      </c>
      <c r="F271" s="2">
        <v>1335960</v>
      </c>
      <c r="G271" s="3">
        <v>0.15815332486234646</v>
      </c>
      <c r="H271" s="3">
        <v>0.30208891269416177</v>
      </c>
      <c r="I271" s="3">
        <v>2.6595744680851064E-2</v>
      </c>
      <c r="J271" s="4">
        <v>8</v>
      </c>
      <c r="K271" s="4">
        <v>8</v>
      </c>
      <c r="L271" s="4">
        <v>713730</v>
      </c>
      <c r="M271" s="5">
        <v>0.20874929893438027</v>
      </c>
      <c r="N271" s="5">
        <v>0.32670607200429874</v>
      </c>
      <c r="O271" s="5">
        <v>1.3157894736842105E-2</v>
      </c>
      <c r="P271">
        <v>-7</v>
      </c>
      <c r="Q271" s="1">
        <v>-0.46666666666666667</v>
      </c>
      <c r="R271">
        <v>-622230</v>
      </c>
      <c r="S271" s="1">
        <v>-0.46575496272343481</v>
      </c>
    </row>
    <row r="272" spans="1:19" x14ac:dyDescent="0.45">
      <c r="A272" t="s">
        <v>35</v>
      </c>
      <c r="B272" t="s">
        <v>39</v>
      </c>
      <c r="C272" t="s">
        <v>346</v>
      </c>
      <c r="D272" s="2">
        <v>4</v>
      </c>
      <c r="E272" s="2">
        <v>4</v>
      </c>
      <c r="F272" s="2">
        <v>357320</v>
      </c>
      <c r="G272" s="3">
        <v>0.15815332486234646</v>
      </c>
      <c r="H272" s="3">
        <v>0.30208891269416177</v>
      </c>
      <c r="I272" s="3">
        <v>7.0921985815602835E-3</v>
      </c>
      <c r="J272" s="4">
        <v>6</v>
      </c>
      <c r="K272" s="4">
        <v>9</v>
      </c>
      <c r="L272" s="4">
        <v>810780</v>
      </c>
      <c r="M272" s="5">
        <v>0.20874929893438027</v>
      </c>
      <c r="N272" s="5">
        <v>0.32670607200429874</v>
      </c>
      <c r="O272" s="5">
        <v>1.4802631578947368E-2</v>
      </c>
      <c r="P272">
        <v>5</v>
      </c>
      <c r="Q272" s="1">
        <v>1.25</v>
      </c>
      <c r="R272">
        <v>453460</v>
      </c>
      <c r="S272" s="1">
        <v>1.2690585469607074</v>
      </c>
    </row>
    <row r="273" spans="1:19" x14ac:dyDescent="0.45">
      <c r="A273" t="s">
        <v>35</v>
      </c>
      <c r="B273" t="s">
        <v>39</v>
      </c>
      <c r="C273" t="s">
        <v>347</v>
      </c>
      <c r="D273" s="2">
        <v>62</v>
      </c>
      <c r="E273" s="2">
        <v>67</v>
      </c>
      <c r="F273" s="2">
        <v>5977000</v>
      </c>
      <c r="G273" s="3">
        <v>0.15815332486234646</v>
      </c>
      <c r="H273" s="3">
        <v>0.30208891269416177</v>
      </c>
      <c r="I273" s="3">
        <v>0.11879432624113476</v>
      </c>
      <c r="J273" s="4">
        <v>45</v>
      </c>
      <c r="K273" s="4">
        <v>49</v>
      </c>
      <c r="L273" s="4">
        <v>4317760</v>
      </c>
      <c r="M273" s="5">
        <v>0.20874929893438027</v>
      </c>
      <c r="N273" s="5">
        <v>0.32670607200429874</v>
      </c>
      <c r="O273" s="5">
        <v>8.0592105263157895E-2</v>
      </c>
      <c r="P273">
        <v>-18</v>
      </c>
      <c r="Q273" s="1">
        <v>-0.26865671641791045</v>
      </c>
      <c r="R273">
        <v>-1659240</v>
      </c>
      <c r="S273" s="1">
        <v>-0.27760414923874854</v>
      </c>
    </row>
    <row r="274" spans="1:19" x14ac:dyDescent="0.45">
      <c r="A274" t="s">
        <v>35</v>
      </c>
      <c r="B274" t="s">
        <v>40</v>
      </c>
      <c r="C274" t="s">
        <v>348</v>
      </c>
      <c r="D274" s="2">
        <v>5</v>
      </c>
      <c r="E274" s="2">
        <v>6</v>
      </c>
      <c r="F274" s="2">
        <v>956400</v>
      </c>
      <c r="G274" s="3">
        <v>0.15815332486234646</v>
      </c>
      <c r="H274" s="3">
        <v>3.2137118371719335E-3</v>
      </c>
      <c r="I274" s="3">
        <v>1</v>
      </c>
      <c r="J274" s="4">
        <v>1</v>
      </c>
      <c r="K274" s="4">
        <v>1</v>
      </c>
      <c r="L274" s="4">
        <v>164900</v>
      </c>
      <c r="M274" s="5">
        <v>0.20874929893438027</v>
      </c>
      <c r="N274" s="5">
        <v>5.3734551316496511E-4</v>
      </c>
      <c r="O274" s="5">
        <v>1</v>
      </c>
      <c r="P274">
        <v>-5</v>
      </c>
      <c r="Q274" s="1">
        <v>-0.83333333333333337</v>
      </c>
      <c r="R274">
        <v>-791500</v>
      </c>
      <c r="S274" s="1">
        <v>-0.82758260142199913</v>
      </c>
    </row>
    <row r="275" spans="1:19" x14ac:dyDescent="0.45">
      <c r="A275" t="s">
        <v>35</v>
      </c>
      <c r="B275" t="s">
        <v>41</v>
      </c>
      <c r="C275" t="s">
        <v>349</v>
      </c>
      <c r="D275" s="2">
        <v>47</v>
      </c>
      <c r="E275" s="2">
        <v>52</v>
      </c>
      <c r="F275" s="2">
        <v>6253190</v>
      </c>
      <c r="G275" s="3">
        <v>0.15815332486234646</v>
      </c>
      <c r="H275" s="3">
        <v>0.45634708087841458</v>
      </c>
      <c r="I275" s="3">
        <v>6.1032863849765258E-2</v>
      </c>
      <c r="J275" s="4">
        <v>52</v>
      </c>
      <c r="K275" s="4">
        <v>56</v>
      </c>
      <c r="L275" s="4">
        <v>6831730</v>
      </c>
      <c r="M275" s="5">
        <v>0.20874929893438027</v>
      </c>
      <c r="N275" s="5">
        <v>0.4707146695325094</v>
      </c>
      <c r="O275" s="5">
        <v>6.3926940639269403E-2</v>
      </c>
      <c r="P275">
        <v>4</v>
      </c>
      <c r="Q275" s="1">
        <v>7.6923076923076927E-2</v>
      </c>
      <c r="R275">
        <v>578540</v>
      </c>
      <c r="S275" s="1">
        <v>9.2519178211440886E-2</v>
      </c>
    </row>
    <row r="276" spans="1:19" x14ac:dyDescent="0.45">
      <c r="A276" t="s">
        <v>35</v>
      </c>
      <c r="B276" t="s">
        <v>41</v>
      </c>
      <c r="C276" t="s">
        <v>350</v>
      </c>
      <c r="D276" s="2">
        <v>133</v>
      </c>
      <c r="E276" s="2">
        <v>155</v>
      </c>
      <c r="F276" s="2">
        <v>20113560</v>
      </c>
      <c r="G276" s="3">
        <v>0.15815332486234646</v>
      </c>
      <c r="H276" s="3">
        <v>0.45634708087841458</v>
      </c>
      <c r="I276" s="3">
        <v>0.18192488262910797</v>
      </c>
      <c r="J276" s="4">
        <v>141</v>
      </c>
      <c r="K276" s="4">
        <v>155</v>
      </c>
      <c r="L276" s="4">
        <v>20213870</v>
      </c>
      <c r="M276" s="5">
        <v>0.20874929893438027</v>
      </c>
      <c r="N276" s="5">
        <v>0.4707146695325094</v>
      </c>
      <c r="O276" s="5">
        <v>0.1769406392694064</v>
      </c>
      <c r="P276">
        <v>0</v>
      </c>
      <c r="Q276" s="1">
        <v>0</v>
      </c>
      <c r="R276">
        <v>100310</v>
      </c>
      <c r="S276" s="1">
        <v>4.987182776196755E-3</v>
      </c>
    </row>
    <row r="277" spans="1:19" x14ac:dyDescent="0.45">
      <c r="A277" t="s">
        <v>35</v>
      </c>
      <c r="B277" t="s">
        <v>41</v>
      </c>
      <c r="C277" t="s">
        <v>351</v>
      </c>
      <c r="D277" s="2">
        <v>5</v>
      </c>
      <c r="E277" s="2">
        <v>5</v>
      </c>
      <c r="F277" s="2">
        <v>503210</v>
      </c>
      <c r="G277" s="3">
        <v>0.15815332486234646</v>
      </c>
      <c r="H277" s="3">
        <v>0.45634708087841458</v>
      </c>
      <c r="I277" s="3">
        <v>5.8685446009389668E-3</v>
      </c>
      <c r="J277" s="4">
        <v>6</v>
      </c>
      <c r="K277" s="4">
        <v>6</v>
      </c>
      <c r="L277" s="4">
        <v>581980</v>
      </c>
      <c r="M277" s="5">
        <v>0.20874929893438027</v>
      </c>
      <c r="N277" s="5">
        <v>0.4707146695325094</v>
      </c>
      <c r="O277" s="5">
        <v>6.8493150684931503E-3</v>
      </c>
      <c r="P277">
        <v>1</v>
      </c>
      <c r="Q277" s="1">
        <v>0.2</v>
      </c>
      <c r="R277">
        <v>78770</v>
      </c>
      <c r="S277" s="1">
        <v>0.15653504501102919</v>
      </c>
    </row>
    <row r="278" spans="1:19" x14ac:dyDescent="0.45">
      <c r="A278" t="s">
        <v>35</v>
      </c>
      <c r="B278" t="s">
        <v>41</v>
      </c>
      <c r="C278" t="s">
        <v>352</v>
      </c>
      <c r="D278" s="2">
        <v>186</v>
      </c>
      <c r="E278" s="2">
        <v>212</v>
      </c>
      <c r="F278" s="2">
        <v>31177480</v>
      </c>
      <c r="G278" s="3">
        <v>0.15815332486234646</v>
      </c>
      <c r="H278" s="3">
        <v>0.45634708087841458</v>
      </c>
      <c r="I278" s="3">
        <v>0.24882629107981222</v>
      </c>
      <c r="J278" s="4">
        <v>233</v>
      </c>
      <c r="K278" s="4">
        <v>257</v>
      </c>
      <c r="L278" s="4">
        <v>38372470</v>
      </c>
      <c r="M278" s="5">
        <v>0.20874929893438027</v>
      </c>
      <c r="N278" s="5">
        <v>0.4707146695325094</v>
      </c>
      <c r="O278" s="5">
        <v>0.29337899543378998</v>
      </c>
      <c r="P278">
        <v>45</v>
      </c>
      <c r="Q278" s="1">
        <v>0.21226415094339623</v>
      </c>
      <c r="R278">
        <v>7194990</v>
      </c>
      <c r="S278" s="1">
        <v>0.23077522622097746</v>
      </c>
    </row>
    <row r="279" spans="1:19" x14ac:dyDescent="0.45">
      <c r="A279" t="s">
        <v>35</v>
      </c>
      <c r="B279" t="s">
        <v>41</v>
      </c>
      <c r="C279" t="s">
        <v>353</v>
      </c>
      <c r="D279" s="2">
        <v>54</v>
      </c>
      <c r="E279" s="2">
        <v>62</v>
      </c>
      <c r="F279" s="2">
        <v>9495260</v>
      </c>
      <c r="G279" s="3">
        <v>0.15815332486234646</v>
      </c>
      <c r="H279" s="3">
        <v>0.45634708087841458</v>
      </c>
      <c r="I279" s="3">
        <v>7.2769953051643188E-2</v>
      </c>
      <c r="J279" s="4">
        <v>60</v>
      </c>
      <c r="K279" s="4">
        <v>66</v>
      </c>
      <c r="L279" s="4">
        <v>10198070</v>
      </c>
      <c r="M279" s="5">
        <v>0.20874929893438027</v>
      </c>
      <c r="N279" s="5">
        <v>0.4707146695325094</v>
      </c>
      <c r="O279" s="5">
        <v>7.5342465753424653E-2</v>
      </c>
      <c r="P279">
        <v>4</v>
      </c>
      <c r="Q279" s="1">
        <v>6.4516129032258063E-2</v>
      </c>
      <c r="R279">
        <v>702810</v>
      </c>
      <c r="S279" s="1">
        <v>7.401693055271788E-2</v>
      </c>
    </row>
    <row r="280" spans="1:19" x14ac:dyDescent="0.45">
      <c r="A280" t="s">
        <v>35</v>
      </c>
      <c r="B280" t="s">
        <v>41</v>
      </c>
      <c r="C280" t="s">
        <v>354</v>
      </c>
      <c r="D280" s="2">
        <v>111</v>
      </c>
      <c r="E280" s="2">
        <v>122</v>
      </c>
      <c r="F280" s="2">
        <v>19191320</v>
      </c>
      <c r="G280" s="3">
        <v>0.15815332486234646</v>
      </c>
      <c r="H280" s="3">
        <v>0.45634708087841458</v>
      </c>
      <c r="I280" s="3">
        <v>0.14319248826291081</v>
      </c>
      <c r="J280" s="4">
        <v>74</v>
      </c>
      <c r="K280" s="4">
        <v>78</v>
      </c>
      <c r="L280" s="4">
        <v>12338680</v>
      </c>
      <c r="M280" s="5">
        <v>0.20874929893438027</v>
      </c>
      <c r="N280" s="5">
        <v>0.4707146695325094</v>
      </c>
      <c r="O280" s="5">
        <v>8.9041095890410954E-2</v>
      </c>
      <c r="P280">
        <v>-44</v>
      </c>
      <c r="Q280" s="1">
        <v>-0.36065573770491804</v>
      </c>
      <c r="R280">
        <v>-6852640</v>
      </c>
      <c r="S280" s="1">
        <v>-0.35706975862004281</v>
      </c>
    </row>
    <row r="281" spans="1:19" x14ac:dyDescent="0.45">
      <c r="A281" t="s">
        <v>35</v>
      </c>
      <c r="B281" t="s">
        <v>41</v>
      </c>
      <c r="C281" t="s">
        <v>355</v>
      </c>
      <c r="D281" s="2">
        <v>137</v>
      </c>
      <c r="E281" s="2">
        <v>141</v>
      </c>
      <c r="F281" s="2">
        <v>22876140</v>
      </c>
      <c r="G281" s="3">
        <v>0.15815332486234646</v>
      </c>
      <c r="H281" s="3">
        <v>0.45634708087841458</v>
      </c>
      <c r="I281" s="3">
        <v>0.16549295774647887</v>
      </c>
      <c r="J281" s="4">
        <v>139</v>
      </c>
      <c r="K281" s="4">
        <v>148</v>
      </c>
      <c r="L281" s="4">
        <v>24246690</v>
      </c>
      <c r="M281" s="5">
        <v>0.20874929893438027</v>
      </c>
      <c r="N281" s="5">
        <v>0.4707146695325094</v>
      </c>
      <c r="O281" s="5">
        <v>0.16894977168949771</v>
      </c>
      <c r="P281">
        <v>7</v>
      </c>
      <c r="Q281" s="1">
        <v>4.9645390070921988E-2</v>
      </c>
      <c r="R281">
        <v>1370550</v>
      </c>
      <c r="S281" s="1">
        <v>5.9911768331545441E-2</v>
      </c>
    </row>
    <row r="282" spans="1:19" x14ac:dyDescent="0.45">
      <c r="A282" t="s">
        <v>35</v>
      </c>
      <c r="B282" t="s">
        <v>41</v>
      </c>
      <c r="C282" t="s">
        <v>356</v>
      </c>
      <c r="D282" s="2">
        <v>4</v>
      </c>
      <c r="E282" s="2">
        <v>5</v>
      </c>
      <c r="F282" s="2">
        <v>718570</v>
      </c>
      <c r="G282" s="3">
        <v>0.15815332486234646</v>
      </c>
      <c r="H282" s="3">
        <v>0.45634708087841458</v>
      </c>
      <c r="I282" s="3">
        <v>5.8685446009389668E-3</v>
      </c>
      <c r="J282" s="4">
        <v>8</v>
      </c>
      <c r="K282" s="4">
        <v>7</v>
      </c>
      <c r="L282" s="4">
        <v>963820</v>
      </c>
      <c r="M282" s="5">
        <v>0.20874929893438027</v>
      </c>
      <c r="N282" s="5">
        <v>0.4707146695325094</v>
      </c>
      <c r="O282" s="5">
        <v>7.9908675799086754E-3</v>
      </c>
      <c r="P282">
        <v>2</v>
      </c>
      <c r="Q282" s="1">
        <v>0.4</v>
      </c>
      <c r="R282">
        <v>245250</v>
      </c>
      <c r="S282" s="1">
        <v>0.34130286541325133</v>
      </c>
    </row>
    <row r="283" spans="1:19" x14ac:dyDescent="0.45">
      <c r="A283" t="s">
        <v>35</v>
      </c>
      <c r="B283" t="s">
        <v>41</v>
      </c>
      <c r="C283" t="s">
        <v>357</v>
      </c>
      <c r="D283" s="2">
        <v>96</v>
      </c>
      <c r="E283" s="2">
        <v>98</v>
      </c>
      <c r="F283" s="2">
        <v>18741960</v>
      </c>
      <c r="G283" s="3">
        <v>0.15815332486234646</v>
      </c>
      <c r="H283" s="3">
        <v>0.45634708087841458</v>
      </c>
      <c r="I283" s="3">
        <v>0.11502347417840375</v>
      </c>
      <c r="J283" s="4">
        <v>101</v>
      </c>
      <c r="K283" s="4">
        <v>103</v>
      </c>
      <c r="L283" s="4">
        <v>19650650</v>
      </c>
      <c r="M283" s="5">
        <v>0.20874929893438027</v>
      </c>
      <c r="N283" s="5">
        <v>0.4707146695325094</v>
      </c>
      <c r="O283" s="5">
        <v>0.11757990867579908</v>
      </c>
      <c r="P283">
        <v>5</v>
      </c>
      <c r="Q283" s="1">
        <v>5.1020408163265307E-2</v>
      </c>
      <c r="R283">
        <v>908690</v>
      </c>
      <c r="S283" s="1">
        <v>4.8484256715946465E-2</v>
      </c>
    </row>
    <row r="284" spans="1:19" x14ac:dyDescent="0.45">
      <c r="A284" t="s">
        <v>35</v>
      </c>
      <c r="B284" t="s">
        <v>42</v>
      </c>
      <c r="C284" t="s">
        <v>358</v>
      </c>
      <c r="D284" s="2">
        <v>0</v>
      </c>
      <c r="E284" s="2">
        <v>0</v>
      </c>
      <c r="F284" s="2">
        <v>0</v>
      </c>
      <c r="G284" s="3">
        <v>0.15815332486234646</v>
      </c>
      <c r="H284" s="3">
        <v>1.3926084627745045E-2</v>
      </c>
      <c r="I284" s="3">
        <v>0</v>
      </c>
      <c r="J284" s="4">
        <v>1</v>
      </c>
      <c r="K284" s="4">
        <v>1</v>
      </c>
      <c r="L284" s="4">
        <v>163930</v>
      </c>
      <c r="M284" s="5">
        <v>0.20874929893438027</v>
      </c>
      <c r="N284" s="5">
        <v>1.0746910263299301E-2</v>
      </c>
      <c r="O284" s="5">
        <v>0.05</v>
      </c>
      <c r="P284">
        <v>1</v>
      </c>
      <c r="Q284" s="1">
        <v>1</v>
      </c>
      <c r="R284">
        <v>163930</v>
      </c>
      <c r="S284" s="1">
        <v>1</v>
      </c>
    </row>
    <row r="285" spans="1:19" x14ac:dyDescent="0.45">
      <c r="A285" t="s">
        <v>35</v>
      </c>
      <c r="B285" t="s">
        <v>42</v>
      </c>
      <c r="C285" t="s">
        <v>359</v>
      </c>
      <c r="D285" s="2">
        <v>0</v>
      </c>
      <c r="E285" s="2">
        <v>0</v>
      </c>
      <c r="F285" s="2">
        <v>0</v>
      </c>
      <c r="G285" s="3">
        <v>0.15815332486234646</v>
      </c>
      <c r="H285" s="3">
        <v>1.3926084627745045E-2</v>
      </c>
      <c r="I285" s="3">
        <v>0</v>
      </c>
      <c r="J285" s="4">
        <v>1</v>
      </c>
      <c r="K285" s="4">
        <v>1</v>
      </c>
      <c r="L285" s="4">
        <v>169000</v>
      </c>
      <c r="M285" s="5">
        <v>0.20874929893438027</v>
      </c>
      <c r="N285" s="5">
        <v>1.0746910263299301E-2</v>
      </c>
      <c r="O285" s="5">
        <v>0.05</v>
      </c>
      <c r="P285">
        <v>1</v>
      </c>
      <c r="Q285" s="1">
        <v>1</v>
      </c>
      <c r="R285">
        <v>169000</v>
      </c>
      <c r="S285" s="1">
        <v>1</v>
      </c>
    </row>
    <row r="286" spans="1:19" x14ac:dyDescent="0.45">
      <c r="A286" t="s">
        <v>35</v>
      </c>
      <c r="B286" t="s">
        <v>42</v>
      </c>
      <c r="C286" t="s">
        <v>360</v>
      </c>
      <c r="D286" s="2">
        <v>1</v>
      </c>
      <c r="E286" s="2">
        <v>1</v>
      </c>
      <c r="F286" s="2">
        <v>159020</v>
      </c>
      <c r="G286" s="3">
        <v>0.15815332486234646</v>
      </c>
      <c r="H286" s="3">
        <v>1.3926084627745045E-2</v>
      </c>
      <c r="I286" s="3">
        <v>3.8461538461538464E-2</v>
      </c>
      <c r="J286" s="4">
        <v>3</v>
      </c>
      <c r="K286" s="4">
        <v>3</v>
      </c>
      <c r="L286" s="4">
        <v>496850</v>
      </c>
      <c r="M286" s="5">
        <v>0.20874929893438027</v>
      </c>
      <c r="N286" s="5">
        <v>1.0746910263299301E-2</v>
      </c>
      <c r="O286" s="5">
        <v>0.15</v>
      </c>
      <c r="P286">
        <v>2</v>
      </c>
      <c r="Q286" s="1">
        <v>2</v>
      </c>
      <c r="R286">
        <v>337830</v>
      </c>
      <c r="S286" s="1">
        <v>2.1244497547478303</v>
      </c>
    </row>
    <row r="287" spans="1:19" x14ac:dyDescent="0.45">
      <c r="A287" t="s">
        <v>35</v>
      </c>
      <c r="B287" t="s">
        <v>42</v>
      </c>
      <c r="C287" t="s">
        <v>361</v>
      </c>
      <c r="D287" s="2">
        <v>2</v>
      </c>
      <c r="E287" s="2">
        <v>2</v>
      </c>
      <c r="F287" s="2">
        <v>378470</v>
      </c>
      <c r="G287" s="3">
        <v>0.15815332486234646</v>
      </c>
      <c r="H287" s="3">
        <v>1.3926084627745045E-2</v>
      </c>
      <c r="I287" s="3">
        <v>7.6923076923076927E-2</v>
      </c>
      <c r="J287" s="4">
        <v>0</v>
      </c>
      <c r="K287" s="4">
        <v>0</v>
      </c>
      <c r="L287" s="4">
        <v>0</v>
      </c>
      <c r="M287" s="5">
        <v>0.20874929893438027</v>
      </c>
      <c r="N287" s="5">
        <v>1.0746910263299301E-2</v>
      </c>
      <c r="O287" s="5">
        <v>0</v>
      </c>
      <c r="P287">
        <v>-2</v>
      </c>
      <c r="Q287" s="1">
        <v>-1</v>
      </c>
      <c r="R287">
        <v>-378470</v>
      </c>
      <c r="S287" s="1">
        <v>-1</v>
      </c>
    </row>
    <row r="288" spans="1:19" x14ac:dyDescent="0.45">
      <c r="A288" t="s">
        <v>35</v>
      </c>
      <c r="B288" t="s">
        <v>42</v>
      </c>
      <c r="C288" t="s">
        <v>362</v>
      </c>
      <c r="D288" s="2">
        <v>2</v>
      </c>
      <c r="E288" s="2">
        <v>3</v>
      </c>
      <c r="F288" s="2">
        <v>542850</v>
      </c>
      <c r="G288" s="3">
        <v>0.15815332486234646</v>
      </c>
      <c r="H288" s="3">
        <v>1.3926084627745045E-2</v>
      </c>
      <c r="I288" s="3">
        <v>0.11538461538461539</v>
      </c>
      <c r="J288" s="4">
        <v>2</v>
      </c>
      <c r="K288" s="4">
        <v>2</v>
      </c>
      <c r="L288" s="4">
        <v>384150</v>
      </c>
      <c r="M288" s="5">
        <v>0.20874929893438027</v>
      </c>
      <c r="N288" s="5">
        <v>1.0746910263299301E-2</v>
      </c>
      <c r="O288" s="5">
        <v>0.1</v>
      </c>
      <c r="P288">
        <v>-1</v>
      </c>
      <c r="Q288" s="1">
        <v>-0.33333333333333331</v>
      </c>
      <c r="R288">
        <v>-158700</v>
      </c>
      <c r="S288" s="1">
        <v>-0.29234595192042001</v>
      </c>
    </row>
    <row r="289" spans="1:19" x14ac:dyDescent="0.45">
      <c r="A289" t="s">
        <v>35</v>
      </c>
      <c r="B289" t="s">
        <v>42</v>
      </c>
      <c r="C289" t="s">
        <v>363</v>
      </c>
      <c r="D289" s="2">
        <v>5</v>
      </c>
      <c r="E289" s="2">
        <v>6</v>
      </c>
      <c r="F289" s="2">
        <v>1112510</v>
      </c>
      <c r="G289" s="3">
        <v>0.15815332486234646</v>
      </c>
      <c r="H289" s="3">
        <v>1.3926084627745045E-2</v>
      </c>
      <c r="I289" s="3">
        <v>0.23076923076923078</v>
      </c>
      <c r="J289" s="4">
        <v>2</v>
      </c>
      <c r="K289" s="4">
        <v>2</v>
      </c>
      <c r="L289" s="4">
        <v>363440</v>
      </c>
      <c r="M289" s="5">
        <v>0.20874929893438027</v>
      </c>
      <c r="N289" s="5">
        <v>1.0746910263299301E-2</v>
      </c>
      <c r="O289" s="5">
        <v>0.1</v>
      </c>
      <c r="P289">
        <v>-4</v>
      </c>
      <c r="Q289" s="1">
        <v>-0.66666666666666663</v>
      </c>
      <c r="R289">
        <v>-749070</v>
      </c>
      <c r="S289" s="1">
        <v>-0.6733152960422828</v>
      </c>
    </row>
    <row r="290" spans="1:19" x14ac:dyDescent="0.45">
      <c r="A290" t="s">
        <v>35</v>
      </c>
      <c r="B290" t="s">
        <v>42</v>
      </c>
      <c r="C290" t="s">
        <v>364</v>
      </c>
      <c r="D290" s="2">
        <v>3</v>
      </c>
      <c r="E290" s="2">
        <v>4</v>
      </c>
      <c r="F290" s="2">
        <v>772460</v>
      </c>
      <c r="G290" s="3">
        <v>0.15815332486234646</v>
      </c>
      <c r="H290" s="3">
        <v>1.3926084627745045E-2</v>
      </c>
      <c r="I290" s="3">
        <v>0.15384615384615385</v>
      </c>
      <c r="J290" s="4">
        <v>1</v>
      </c>
      <c r="K290" s="4">
        <v>1</v>
      </c>
      <c r="L290" s="4">
        <v>196640</v>
      </c>
      <c r="M290" s="5">
        <v>0.20874929893438027</v>
      </c>
      <c r="N290" s="5">
        <v>1.0746910263299301E-2</v>
      </c>
      <c r="O290" s="5">
        <v>0.05</v>
      </c>
      <c r="P290">
        <v>-3</v>
      </c>
      <c r="Q290" s="1">
        <v>-0.75</v>
      </c>
      <c r="R290">
        <v>-575820</v>
      </c>
      <c r="S290" s="1">
        <v>-0.74543665691427385</v>
      </c>
    </row>
    <row r="291" spans="1:19" x14ac:dyDescent="0.45">
      <c r="A291" t="s">
        <v>35</v>
      </c>
      <c r="B291" t="s">
        <v>42</v>
      </c>
      <c r="C291" t="s">
        <v>365</v>
      </c>
      <c r="D291" s="2">
        <v>1</v>
      </c>
      <c r="E291" s="2">
        <v>1</v>
      </c>
      <c r="F291" s="2">
        <v>192590</v>
      </c>
      <c r="G291" s="3">
        <v>0.15815332486234646</v>
      </c>
      <c r="H291" s="3">
        <v>1.3926084627745045E-2</v>
      </c>
      <c r="I291" s="3">
        <v>3.8461538461538464E-2</v>
      </c>
      <c r="J291" s="4">
        <v>1</v>
      </c>
      <c r="K291" s="4">
        <v>1</v>
      </c>
      <c r="L291" s="4">
        <v>209000</v>
      </c>
      <c r="M291" s="5">
        <v>0.20874929893438027</v>
      </c>
      <c r="N291" s="5">
        <v>1.0746910263299301E-2</v>
      </c>
      <c r="O291" s="5">
        <v>0.05</v>
      </c>
      <c r="P291">
        <v>0</v>
      </c>
      <c r="Q291" s="1">
        <v>0</v>
      </c>
      <c r="R291">
        <v>16410</v>
      </c>
      <c r="S291" s="1">
        <v>8.5206916246949482E-2</v>
      </c>
    </row>
    <row r="292" spans="1:19" x14ac:dyDescent="0.45">
      <c r="A292" t="s">
        <v>35</v>
      </c>
      <c r="B292" t="s">
        <v>42</v>
      </c>
      <c r="C292" t="s">
        <v>366</v>
      </c>
      <c r="D292" s="2">
        <v>3</v>
      </c>
      <c r="E292" s="2">
        <v>3</v>
      </c>
      <c r="F292" s="2">
        <v>614670</v>
      </c>
      <c r="G292" s="3">
        <v>0.15815332486234646</v>
      </c>
      <c r="H292" s="3">
        <v>1.3926084627745045E-2</v>
      </c>
      <c r="I292" s="3">
        <v>0.11538461538461539</v>
      </c>
      <c r="J292" s="4">
        <v>3</v>
      </c>
      <c r="K292" s="4">
        <v>3</v>
      </c>
      <c r="L292" s="4">
        <v>608360</v>
      </c>
      <c r="M292" s="5">
        <v>0.20874929893438027</v>
      </c>
      <c r="N292" s="5">
        <v>1.0746910263299301E-2</v>
      </c>
      <c r="O292" s="5">
        <v>0.15</v>
      </c>
      <c r="P292">
        <v>0</v>
      </c>
      <c r="Q292" s="1">
        <v>0</v>
      </c>
      <c r="R292">
        <v>-6310</v>
      </c>
      <c r="S292" s="1">
        <v>-1.0265671010460898E-2</v>
      </c>
    </row>
    <row r="293" spans="1:19" x14ac:dyDescent="0.45">
      <c r="A293" t="s">
        <v>35</v>
      </c>
      <c r="B293" t="s">
        <v>42</v>
      </c>
      <c r="C293" t="s">
        <v>367</v>
      </c>
      <c r="D293" s="2">
        <v>1</v>
      </c>
      <c r="E293" s="2">
        <v>1</v>
      </c>
      <c r="F293" s="2">
        <v>237650</v>
      </c>
      <c r="G293" s="3">
        <v>0.15815332486234646</v>
      </c>
      <c r="H293" s="3">
        <v>1.3926084627745045E-2</v>
      </c>
      <c r="I293" s="3">
        <v>3.8461538461538464E-2</v>
      </c>
      <c r="J293" s="4">
        <v>0</v>
      </c>
      <c r="K293" s="4">
        <v>0</v>
      </c>
      <c r="L293" s="4">
        <v>0</v>
      </c>
      <c r="M293" s="5">
        <v>0.20874929893438027</v>
      </c>
      <c r="N293" s="5">
        <v>1.0746910263299301E-2</v>
      </c>
      <c r="O293" s="5">
        <v>0</v>
      </c>
      <c r="P293">
        <v>-1</v>
      </c>
      <c r="Q293" s="1">
        <v>-1</v>
      </c>
      <c r="R293">
        <v>-237650</v>
      </c>
      <c r="S293" s="1">
        <v>-1</v>
      </c>
    </row>
    <row r="294" spans="1:19" x14ac:dyDescent="0.45">
      <c r="A294" t="s">
        <v>35</v>
      </c>
      <c r="B294" t="s">
        <v>42</v>
      </c>
      <c r="C294" t="s">
        <v>368</v>
      </c>
      <c r="D294" s="2">
        <v>2</v>
      </c>
      <c r="E294" s="2">
        <v>2</v>
      </c>
      <c r="F294" s="2">
        <v>468160</v>
      </c>
      <c r="G294" s="3">
        <v>0.15815332486234646</v>
      </c>
      <c r="H294" s="3">
        <v>1.3926084627745045E-2</v>
      </c>
      <c r="I294" s="3">
        <v>7.6923076923076927E-2</v>
      </c>
      <c r="J294" s="4">
        <v>4</v>
      </c>
      <c r="K294" s="4">
        <v>4</v>
      </c>
      <c r="L294" s="4">
        <v>931800</v>
      </c>
      <c r="M294" s="5">
        <v>0.20874929893438027</v>
      </c>
      <c r="N294" s="5">
        <v>1.0746910263299301E-2</v>
      </c>
      <c r="O294" s="5">
        <v>0.2</v>
      </c>
      <c r="P294">
        <v>2</v>
      </c>
      <c r="Q294" s="1">
        <v>1</v>
      </c>
      <c r="R294">
        <v>463640</v>
      </c>
      <c r="S294" s="1">
        <v>0.99034518113465486</v>
      </c>
    </row>
    <row r="295" spans="1:19" x14ac:dyDescent="0.45">
      <c r="A295" t="s">
        <v>35</v>
      </c>
      <c r="B295" t="s">
        <v>42</v>
      </c>
      <c r="C295" t="s">
        <v>369</v>
      </c>
      <c r="D295" s="2">
        <v>2</v>
      </c>
      <c r="E295" s="2">
        <v>3</v>
      </c>
      <c r="F295" s="2">
        <v>712940</v>
      </c>
      <c r="G295" s="3">
        <v>0.15815332486234646</v>
      </c>
      <c r="H295" s="3">
        <v>1.3926084627745045E-2</v>
      </c>
      <c r="I295" s="3">
        <v>0.11538461538461539</v>
      </c>
      <c r="J295" s="4">
        <v>2</v>
      </c>
      <c r="K295" s="4">
        <v>2</v>
      </c>
      <c r="L295" s="4">
        <v>461040</v>
      </c>
      <c r="M295" s="5">
        <v>0.20874929893438027</v>
      </c>
      <c r="N295" s="5">
        <v>1.0746910263299301E-2</v>
      </c>
      <c r="O295" s="5">
        <v>0.1</v>
      </c>
      <c r="P295">
        <v>-1</v>
      </c>
      <c r="Q295" s="1">
        <v>-0.33333333333333331</v>
      </c>
      <c r="R295">
        <v>-251900</v>
      </c>
      <c r="S295" s="1">
        <v>-0.35332566555390355</v>
      </c>
    </row>
    <row r="296" spans="1:19" x14ac:dyDescent="0.45">
      <c r="A296" t="s">
        <v>35</v>
      </c>
      <c r="B296" t="s">
        <v>43</v>
      </c>
      <c r="C296" t="s">
        <v>370</v>
      </c>
      <c r="D296" s="2">
        <v>0</v>
      </c>
      <c r="E296" s="2">
        <v>0</v>
      </c>
      <c r="F296" s="2">
        <v>0</v>
      </c>
      <c r="G296" s="3">
        <v>0.15815332486234646</v>
      </c>
      <c r="H296" s="3">
        <v>4.2313872522763793E-2</v>
      </c>
      <c r="I296" s="3">
        <v>0</v>
      </c>
      <c r="J296" s="4">
        <v>4</v>
      </c>
      <c r="K296" s="4">
        <v>4</v>
      </c>
      <c r="L296" s="4">
        <v>1071150</v>
      </c>
      <c r="M296" s="5">
        <v>0.20874929893438027</v>
      </c>
      <c r="N296" s="5">
        <v>3.4390112842557767E-2</v>
      </c>
      <c r="O296" s="5">
        <v>6.25E-2</v>
      </c>
      <c r="P296">
        <v>4</v>
      </c>
      <c r="Q296" s="1">
        <v>1</v>
      </c>
      <c r="R296">
        <v>1071150</v>
      </c>
      <c r="S296" s="1">
        <v>1</v>
      </c>
    </row>
    <row r="297" spans="1:19" x14ac:dyDescent="0.45">
      <c r="A297" t="s">
        <v>35</v>
      </c>
      <c r="B297" t="s">
        <v>43</v>
      </c>
      <c r="C297" t="s">
        <v>371</v>
      </c>
      <c r="D297" s="2">
        <v>57</v>
      </c>
      <c r="E297" s="2">
        <v>63</v>
      </c>
      <c r="F297" s="2">
        <v>11423520</v>
      </c>
      <c r="G297" s="3">
        <v>0.15815332486234646</v>
      </c>
      <c r="H297" s="3">
        <v>4.2313872522763793E-2</v>
      </c>
      <c r="I297" s="3">
        <v>0.79746835443037978</v>
      </c>
      <c r="J297" s="4">
        <v>35</v>
      </c>
      <c r="K297" s="4">
        <v>42</v>
      </c>
      <c r="L297" s="4">
        <v>7743380</v>
      </c>
      <c r="M297" s="5">
        <v>0.20874929893438027</v>
      </c>
      <c r="N297" s="5">
        <v>3.4390112842557767E-2</v>
      </c>
      <c r="O297" s="5">
        <v>0.65625</v>
      </c>
      <c r="P297">
        <v>-21</v>
      </c>
      <c r="Q297" s="1">
        <v>-0.33333333333333331</v>
      </c>
      <c r="R297">
        <v>-3680140</v>
      </c>
      <c r="S297" s="1">
        <v>-0.32215464235191954</v>
      </c>
    </row>
    <row r="298" spans="1:19" x14ac:dyDescent="0.45">
      <c r="A298" t="s">
        <v>35</v>
      </c>
      <c r="B298" t="s">
        <v>43</v>
      </c>
      <c r="C298" t="s">
        <v>372</v>
      </c>
      <c r="D298" s="2">
        <v>8</v>
      </c>
      <c r="E298" s="2">
        <v>8</v>
      </c>
      <c r="F298" s="2">
        <v>2595810</v>
      </c>
      <c r="G298" s="3">
        <v>0.15815332486234646</v>
      </c>
      <c r="H298" s="3">
        <v>4.2313872522763793E-2</v>
      </c>
      <c r="I298" s="3">
        <v>0.10126582278481013</v>
      </c>
      <c r="J298" s="4">
        <v>11</v>
      </c>
      <c r="K298" s="4">
        <v>11</v>
      </c>
      <c r="L298" s="4">
        <v>3601770</v>
      </c>
      <c r="M298" s="5">
        <v>0.20874929893438027</v>
      </c>
      <c r="N298" s="5">
        <v>3.4390112842557767E-2</v>
      </c>
      <c r="O298" s="5">
        <v>0.171875</v>
      </c>
      <c r="P298">
        <v>3</v>
      </c>
      <c r="Q298" s="1">
        <v>0.375</v>
      </c>
      <c r="R298">
        <v>1005960</v>
      </c>
      <c r="S298" s="1">
        <v>0.38753221537785892</v>
      </c>
    </row>
    <row r="299" spans="1:19" x14ac:dyDescent="0.45">
      <c r="A299" t="s">
        <v>35</v>
      </c>
      <c r="B299" t="s">
        <v>43</v>
      </c>
      <c r="C299" t="s">
        <v>373</v>
      </c>
      <c r="D299" s="2">
        <v>8</v>
      </c>
      <c r="E299" s="2">
        <v>8</v>
      </c>
      <c r="F299" s="2">
        <v>2287510</v>
      </c>
      <c r="G299" s="3">
        <v>0.15815332486234646</v>
      </c>
      <c r="H299" s="3">
        <v>4.2313872522763793E-2</v>
      </c>
      <c r="I299" s="3">
        <v>0.10126582278481013</v>
      </c>
      <c r="J299" s="4">
        <v>7</v>
      </c>
      <c r="K299" s="4">
        <v>7</v>
      </c>
      <c r="L299" s="4">
        <v>2024880</v>
      </c>
      <c r="M299" s="5">
        <v>0.20874929893438027</v>
      </c>
      <c r="N299" s="5">
        <v>3.4390112842557767E-2</v>
      </c>
      <c r="O299" s="5">
        <v>0.109375</v>
      </c>
      <c r="P299">
        <v>-1</v>
      </c>
      <c r="Q299" s="1">
        <v>-0.125</v>
      </c>
      <c r="R299">
        <v>-262630</v>
      </c>
      <c r="S299" s="1">
        <v>-0.11481042705824236</v>
      </c>
    </row>
    <row r="300" spans="1:19" x14ac:dyDescent="0.45">
      <c r="A300" t="s">
        <v>44</v>
      </c>
      <c r="B300" t="s">
        <v>45</v>
      </c>
      <c r="C300" t="s">
        <v>374</v>
      </c>
      <c r="D300" s="2">
        <v>63</v>
      </c>
      <c r="E300" s="2">
        <v>75</v>
      </c>
      <c r="F300" s="2">
        <v>55905260</v>
      </c>
      <c r="G300" s="3">
        <v>0.26785260482846251</v>
      </c>
      <c r="H300" s="3">
        <v>0.35072738772928524</v>
      </c>
      <c r="I300" s="3">
        <v>6.7628494138863834E-2</v>
      </c>
      <c r="J300" s="4">
        <v>31</v>
      </c>
      <c r="K300" s="4">
        <v>33</v>
      </c>
      <c r="L300" s="4">
        <v>28954900</v>
      </c>
      <c r="M300" s="5">
        <v>0.19158721256309591</v>
      </c>
      <c r="N300" s="5">
        <v>0.3477751756440281</v>
      </c>
      <c r="O300" s="5">
        <v>5.5555555555555552E-2</v>
      </c>
      <c r="P300">
        <v>-42</v>
      </c>
      <c r="Q300" s="1">
        <v>-0.56000000000000005</v>
      </c>
      <c r="R300">
        <v>-26950360</v>
      </c>
      <c r="S300" s="1">
        <v>-0.48207199107919363</v>
      </c>
    </row>
    <row r="301" spans="1:19" x14ac:dyDescent="0.45">
      <c r="A301" t="s">
        <v>44</v>
      </c>
      <c r="B301" t="s">
        <v>45</v>
      </c>
      <c r="C301" t="s">
        <v>375</v>
      </c>
      <c r="D301" s="2">
        <v>88</v>
      </c>
      <c r="E301" s="2">
        <v>101</v>
      </c>
      <c r="F301" s="2">
        <v>67513630</v>
      </c>
      <c r="G301" s="3">
        <v>0.26785260482846251</v>
      </c>
      <c r="H301" s="3">
        <v>0.35072738772928524</v>
      </c>
      <c r="I301" s="3">
        <v>9.107303877366997E-2</v>
      </c>
      <c r="J301" s="4">
        <v>56</v>
      </c>
      <c r="K301" s="4">
        <v>58</v>
      </c>
      <c r="L301" s="4">
        <v>41685650</v>
      </c>
      <c r="M301" s="5">
        <v>0.19158721256309591</v>
      </c>
      <c r="N301" s="5">
        <v>0.3477751756440281</v>
      </c>
      <c r="O301" s="5">
        <v>9.7643097643097643E-2</v>
      </c>
      <c r="P301">
        <v>-43</v>
      </c>
      <c r="Q301" s="1">
        <v>-0.42574257425742573</v>
      </c>
      <c r="R301">
        <v>-25827980</v>
      </c>
      <c r="S301" s="1">
        <v>-0.38255949206108453</v>
      </c>
    </row>
    <row r="302" spans="1:19" x14ac:dyDescent="0.45">
      <c r="A302" t="s">
        <v>44</v>
      </c>
      <c r="B302" t="s">
        <v>45</v>
      </c>
      <c r="C302" t="s">
        <v>376</v>
      </c>
      <c r="D302" s="2">
        <v>271</v>
      </c>
      <c r="E302" s="2">
        <v>330</v>
      </c>
      <c r="F302" s="2">
        <v>262361210</v>
      </c>
      <c r="G302" s="3">
        <v>0.26785260482846251</v>
      </c>
      <c r="H302" s="3">
        <v>0.35072738772928524</v>
      </c>
      <c r="I302" s="3">
        <v>0.29756537421100088</v>
      </c>
      <c r="J302" s="4">
        <v>152</v>
      </c>
      <c r="K302" s="4">
        <v>163</v>
      </c>
      <c r="L302" s="4">
        <v>150688120</v>
      </c>
      <c r="M302" s="5">
        <v>0.19158721256309591</v>
      </c>
      <c r="N302" s="5">
        <v>0.3477751756440281</v>
      </c>
      <c r="O302" s="5">
        <v>0.27441077441077444</v>
      </c>
      <c r="P302">
        <v>-167</v>
      </c>
      <c r="Q302" s="1">
        <v>-0.5060606060606061</v>
      </c>
      <c r="R302">
        <v>-111673090</v>
      </c>
      <c r="S302" s="1">
        <v>-0.42564634459491935</v>
      </c>
    </row>
    <row r="303" spans="1:19" x14ac:dyDescent="0.45">
      <c r="A303" t="s">
        <v>44</v>
      </c>
      <c r="B303" t="s">
        <v>45</v>
      </c>
      <c r="C303" t="s">
        <v>377</v>
      </c>
      <c r="D303" s="2">
        <v>445</v>
      </c>
      <c r="E303" s="2">
        <v>508</v>
      </c>
      <c r="F303" s="2">
        <v>347183830</v>
      </c>
      <c r="G303" s="3">
        <v>0.26785260482846251</v>
      </c>
      <c r="H303" s="3">
        <v>0.35072738772928524</v>
      </c>
      <c r="I303" s="3">
        <v>0.45807033363390443</v>
      </c>
      <c r="J303" s="4">
        <v>271</v>
      </c>
      <c r="K303" s="4">
        <v>282</v>
      </c>
      <c r="L303" s="4">
        <v>210504820</v>
      </c>
      <c r="M303" s="5">
        <v>0.19158721256309591</v>
      </c>
      <c r="N303" s="5">
        <v>0.3477751756440281</v>
      </c>
      <c r="O303" s="5">
        <v>0.47474747474747475</v>
      </c>
      <c r="P303">
        <v>-226</v>
      </c>
      <c r="Q303" s="1">
        <v>-0.44488188976377951</v>
      </c>
      <c r="R303">
        <v>-136679010</v>
      </c>
      <c r="S303" s="1">
        <v>-0.39367907773815386</v>
      </c>
    </row>
    <row r="304" spans="1:19" x14ac:dyDescent="0.45">
      <c r="A304" t="s">
        <v>44</v>
      </c>
      <c r="B304" t="s">
        <v>45</v>
      </c>
      <c r="C304" t="s">
        <v>378</v>
      </c>
      <c r="D304" s="2">
        <v>5</v>
      </c>
      <c r="E304" s="2">
        <v>6</v>
      </c>
      <c r="F304" s="2">
        <v>5454050</v>
      </c>
      <c r="G304" s="3">
        <v>0.26785260482846251</v>
      </c>
      <c r="H304" s="3">
        <v>0.35072738772928524</v>
      </c>
      <c r="I304" s="3">
        <v>5.4102795311091077E-3</v>
      </c>
      <c r="J304" s="4">
        <v>2</v>
      </c>
      <c r="K304" s="4">
        <v>2</v>
      </c>
      <c r="L304" s="4">
        <v>1866760</v>
      </c>
      <c r="M304" s="5">
        <v>0.19158721256309591</v>
      </c>
      <c r="N304" s="5">
        <v>0.3477751756440281</v>
      </c>
      <c r="O304" s="5">
        <v>3.3670033670033669E-3</v>
      </c>
      <c r="P304">
        <v>-4</v>
      </c>
      <c r="Q304" s="1">
        <v>-0.66666666666666663</v>
      </c>
      <c r="R304">
        <v>-3587290</v>
      </c>
      <c r="S304" s="1">
        <v>-0.65772957710325353</v>
      </c>
    </row>
    <row r="305" spans="1:19" x14ac:dyDescent="0.45">
      <c r="A305" t="s">
        <v>44</v>
      </c>
      <c r="B305" t="s">
        <v>45</v>
      </c>
      <c r="C305" t="s">
        <v>379</v>
      </c>
      <c r="D305" s="2">
        <v>6</v>
      </c>
      <c r="E305" s="2">
        <v>6</v>
      </c>
      <c r="F305" s="2">
        <v>4442760</v>
      </c>
      <c r="G305" s="3">
        <v>0.26785260482846251</v>
      </c>
      <c r="H305" s="3">
        <v>0.35072738772928524</v>
      </c>
      <c r="I305" s="3">
        <v>5.4102795311091077E-3</v>
      </c>
      <c r="J305" s="4">
        <v>7</v>
      </c>
      <c r="K305" s="4">
        <v>7</v>
      </c>
      <c r="L305" s="4">
        <v>5184470</v>
      </c>
      <c r="M305" s="5">
        <v>0.19158721256309591</v>
      </c>
      <c r="N305" s="5">
        <v>0.3477751756440281</v>
      </c>
      <c r="O305" s="5">
        <v>1.1784511784511785E-2</v>
      </c>
      <c r="P305">
        <v>1</v>
      </c>
      <c r="Q305" s="1">
        <v>0.16666666666666666</v>
      </c>
      <c r="R305">
        <v>741710</v>
      </c>
      <c r="S305" s="1">
        <v>0.16694802330083103</v>
      </c>
    </row>
    <row r="306" spans="1:19" x14ac:dyDescent="0.45">
      <c r="A306" t="s">
        <v>44</v>
      </c>
      <c r="B306" t="s">
        <v>45</v>
      </c>
      <c r="C306" t="s">
        <v>380</v>
      </c>
      <c r="D306" s="2">
        <v>33</v>
      </c>
      <c r="E306" s="2">
        <v>37</v>
      </c>
      <c r="F306" s="2">
        <v>32684970</v>
      </c>
      <c r="G306" s="3">
        <v>0.26785260482846251</v>
      </c>
      <c r="H306" s="3">
        <v>0.35072738772928524</v>
      </c>
      <c r="I306" s="3">
        <v>3.3363390441839495E-2</v>
      </c>
      <c r="J306" s="4">
        <v>19</v>
      </c>
      <c r="K306" s="4">
        <v>19</v>
      </c>
      <c r="L306" s="4">
        <v>17639830</v>
      </c>
      <c r="M306" s="5">
        <v>0.19158721256309591</v>
      </c>
      <c r="N306" s="5">
        <v>0.3477751756440281</v>
      </c>
      <c r="O306" s="5">
        <v>3.1986531986531987E-2</v>
      </c>
      <c r="P306">
        <v>-18</v>
      </c>
      <c r="Q306" s="1">
        <v>-0.48648648648648651</v>
      </c>
      <c r="R306">
        <v>-15045140</v>
      </c>
      <c r="S306" s="1">
        <v>-0.46030759703925078</v>
      </c>
    </row>
    <row r="307" spans="1:19" x14ac:dyDescent="0.45">
      <c r="A307" t="s">
        <v>44</v>
      </c>
      <c r="B307" t="s">
        <v>45</v>
      </c>
      <c r="C307" t="s">
        <v>381</v>
      </c>
      <c r="D307" s="2">
        <v>41</v>
      </c>
      <c r="E307" s="2">
        <v>46</v>
      </c>
      <c r="F307" s="2">
        <v>34944560</v>
      </c>
      <c r="G307" s="3">
        <v>0.26785260482846251</v>
      </c>
      <c r="H307" s="3">
        <v>0.35072738772928524</v>
      </c>
      <c r="I307" s="3">
        <v>4.1478809738503153E-2</v>
      </c>
      <c r="J307" s="4">
        <v>30</v>
      </c>
      <c r="K307" s="4">
        <v>30</v>
      </c>
      <c r="L307" s="4">
        <v>23266900</v>
      </c>
      <c r="M307" s="5">
        <v>0.19158721256309591</v>
      </c>
      <c r="N307" s="5">
        <v>0.3477751756440281</v>
      </c>
      <c r="O307" s="5">
        <v>5.0505050505050504E-2</v>
      </c>
      <c r="P307">
        <v>-16</v>
      </c>
      <c r="Q307" s="1">
        <v>-0.34782608695652173</v>
      </c>
      <c r="R307">
        <v>-11677660</v>
      </c>
      <c r="S307" s="1">
        <v>-0.33417676456650192</v>
      </c>
    </row>
    <row r="308" spans="1:19" x14ac:dyDescent="0.45">
      <c r="A308" t="s">
        <v>44</v>
      </c>
      <c r="B308" t="s">
        <v>46</v>
      </c>
      <c r="C308" t="s">
        <v>382</v>
      </c>
      <c r="D308" s="2">
        <v>50</v>
      </c>
      <c r="E308" s="2">
        <v>64</v>
      </c>
      <c r="F308" s="2">
        <v>59554260</v>
      </c>
      <c r="G308" s="3">
        <v>0.26785260482846251</v>
      </c>
      <c r="H308" s="3">
        <v>0.28779253636938645</v>
      </c>
      <c r="I308" s="3">
        <v>7.032967032967033E-2</v>
      </c>
      <c r="J308" s="4">
        <v>22</v>
      </c>
      <c r="K308" s="4">
        <v>22</v>
      </c>
      <c r="L308" s="4">
        <v>25675720</v>
      </c>
      <c r="M308" s="5">
        <v>0.19158721256309591</v>
      </c>
      <c r="N308" s="5">
        <v>0.27224824355971899</v>
      </c>
      <c r="O308" s="5">
        <v>4.7311827956989246E-2</v>
      </c>
      <c r="P308">
        <v>-42</v>
      </c>
      <c r="Q308" s="1">
        <v>-0.65625</v>
      </c>
      <c r="R308">
        <v>-33878540</v>
      </c>
      <c r="S308" s="1">
        <v>-0.56886845710113765</v>
      </c>
    </row>
    <row r="309" spans="1:19" x14ac:dyDescent="0.45">
      <c r="A309" t="s">
        <v>44</v>
      </c>
      <c r="B309" t="s">
        <v>46</v>
      </c>
      <c r="C309" t="s">
        <v>383</v>
      </c>
      <c r="D309" s="2">
        <v>63</v>
      </c>
      <c r="E309" s="2">
        <v>73</v>
      </c>
      <c r="F309" s="2">
        <v>64756350</v>
      </c>
      <c r="G309" s="3">
        <v>0.26785260482846251</v>
      </c>
      <c r="H309" s="3">
        <v>0.28779253636938645</v>
      </c>
      <c r="I309" s="3">
        <v>8.0219780219780226E-2</v>
      </c>
      <c r="J309" s="4">
        <v>27</v>
      </c>
      <c r="K309" s="4">
        <v>28</v>
      </c>
      <c r="L309" s="4">
        <v>28966850</v>
      </c>
      <c r="M309" s="5">
        <v>0.19158721256309591</v>
      </c>
      <c r="N309" s="5">
        <v>0.27224824355971899</v>
      </c>
      <c r="O309" s="5">
        <v>6.0215053763440864E-2</v>
      </c>
      <c r="P309">
        <v>-45</v>
      </c>
      <c r="Q309" s="1">
        <v>-0.61643835616438358</v>
      </c>
      <c r="R309">
        <v>-35789500</v>
      </c>
      <c r="S309" s="1">
        <v>-0.55267938974324526</v>
      </c>
    </row>
    <row r="310" spans="1:19" x14ac:dyDescent="0.45">
      <c r="A310" t="s">
        <v>44</v>
      </c>
      <c r="B310" t="s">
        <v>46</v>
      </c>
      <c r="C310" t="s">
        <v>384</v>
      </c>
      <c r="D310" s="2">
        <v>207</v>
      </c>
      <c r="E310" s="2">
        <v>268</v>
      </c>
      <c r="F310" s="2">
        <v>264710800</v>
      </c>
      <c r="G310" s="3">
        <v>0.26785260482846251</v>
      </c>
      <c r="H310" s="3">
        <v>0.28779253636938645</v>
      </c>
      <c r="I310" s="3">
        <v>0.29450549450549451</v>
      </c>
      <c r="J310" s="4">
        <v>109</v>
      </c>
      <c r="K310" s="4">
        <v>115</v>
      </c>
      <c r="L310" s="4">
        <v>138780500</v>
      </c>
      <c r="M310" s="5">
        <v>0.19158721256309591</v>
      </c>
      <c r="N310" s="5">
        <v>0.27224824355971899</v>
      </c>
      <c r="O310" s="5">
        <v>0.24731182795698925</v>
      </c>
      <c r="P310">
        <v>-153</v>
      </c>
      <c r="Q310" s="1">
        <v>-0.57089552238805974</v>
      </c>
      <c r="R310">
        <v>-125930300</v>
      </c>
      <c r="S310" s="1">
        <v>-0.47572785092259173</v>
      </c>
    </row>
    <row r="311" spans="1:19" x14ac:dyDescent="0.45">
      <c r="A311" t="s">
        <v>44</v>
      </c>
      <c r="B311" t="s">
        <v>46</v>
      </c>
      <c r="C311" t="s">
        <v>385</v>
      </c>
      <c r="D311" s="2">
        <v>224</v>
      </c>
      <c r="E311" s="2">
        <v>285</v>
      </c>
      <c r="F311" s="2">
        <v>242359310</v>
      </c>
      <c r="G311" s="3">
        <v>0.26785260482846251</v>
      </c>
      <c r="H311" s="3">
        <v>0.28779253636938645</v>
      </c>
      <c r="I311" s="3">
        <v>0.31318681318681318</v>
      </c>
      <c r="J311" s="4">
        <v>158</v>
      </c>
      <c r="K311" s="4">
        <v>167</v>
      </c>
      <c r="L311" s="4">
        <v>172469290</v>
      </c>
      <c r="M311" s="5">
        <v>0.19158721256309591</v>
      </c>
      <c r="N311" s="5">
        <v>0.27224824355971899</v>
      </c>
      <c r="O311" s="5">
        <v>0.35913978494623655</v>
      </c>
      <c r="P311">
        <v>-118</v>
      </c>
      <c r="Q311" s="1">
        <v>-0.41403508771929826</v>
      </c>
      <c r="R311">
        <v>-69890020</v>
      </c>
      <c r="S311" s="1">
        <v>-0.28837357227993426</v>
      </c>
    </row>
    <row r="312" spans="1:19" x14ac:dyDescent="0.45">
      <c r="A312" t="s">
        <v>44</v>
      </c>
      <c r="B312" t="s">
        <v>46</v>
      </c>
      <c r="C312" t="s">
        <v>386</v>
      </c>
      <c r="D312" s="2">
        <v>19</v>
      </c>
      <c r="E312" s="2">
        <v>26</v>
      </c>
      <c r="F312" s="2">
        <v>25414040</v>
      </c>
      <c r="G312" s="3">
        <v>0.26785260482846251</v>
      </c>
      <c r="H312" s="3">
        <v>0.28779253636938645</v>
      </c>
      <c r="I312" s="3">
        <v>2.8571428571428571E-2</v>
      </c>
      <c r="J312" s="4">
        <v>4</v>
      </c>
      <c r="K312" s="4">
        <v>4</v>
      </c>
      <c r="L312" s="4">
        <v>4804320</v>
      </c>
      <c r="M312" s="5">
        <v>0.19158721256309591</v>
      </c>
      <c r="N312" s="5">
        <v>0.27224824355971899</v>
      </c>
      <c r="O312" s="5">
        <v>8.6021505376344086E-3</v>
      </c>
      <c r="P312">
        <v>-22</v>
      </c>
      <c r="Q312" s="1">
        <v>-0.84615384615384615</v>
      </c>
      <c r="R312">
        <v>-20609720</v>
      </c>
      <c r="S312" s="1">
        <v>-0.81095803736832084</v>
      </c>
    </row>
    <row r="313" spans="1:19" x14ac:dyDescent="0.45">
      <c r="A313" t="s">
        <v>44</v>
      </c>
      <c r="B313" t="s">
        <v>46</v>
      </c>
      <c r="C313" t="s">
        <v>387</v>
      </c>
      <c r="D313" s="2">
        <v>10</v>
      </c>
      <c r="E313" s="2">
        <v>13</v>
      </c>
      <c r="F313" s="2">
        <v>10382320</v>
      </c>
      <c r="G313" s="3">
        <v>0.26785260482846251</v>
      </c>
      <c r="H313" s="3">
        <v>0.28779253636938645</v>
      </c>
      <c r="I313" s="3">
        <v>1.4285714285714285E-2</v>
      </c>
      <c r="J313" s="4">
        <v>5</v>
      </c>
      <c r="K313" s="4">
        <v>5</v>
      </c>
      <c r="L313" s="4">
        <v>5182810</v>
      </c>
      <c r="M313" s="5">
        <v>0.19158721256309591</v>
      </c>
      <c r="N313" s="5">
        <v>0.27224824355971899</v>
      </c>
      <c r="O313" s="5">
        <v>1.0752688172043012E-2</v>
      </c>
      <c r="P313">
        <v>-8</v>
      </c>
      <c r="Q313" s="1">
        <v>-0.61538461538461542</v>
      </c>
      <c r="R313">
        <v>-5199510</v>
      </c>
      <c r="S313" s="1">
        <v>-0.50080425184351862</v>
      </c>
    </row>
    <row r="314" spans="1:19" x14ac:dyDescent="0.45">
      <c r="A314" t="s">
        <v>44</v>
      </c>
      <c r="B314" t="s">
        <v>46</v>
      </c>
      <c r="C314" t="s">
        <v>388</v>
      </c>
      <c r="D314" s="2">
        <v>77</v>
      </c>
      <c r="E314" s="2">
        <v>98</v>
      </c>
      <c r="F314" s="2">
        <v>99525540</v>
      </c>
      <c r="G314" s="3">
        <v>0.26785260482846251</v>
      </c>
      <c r="H314" s="3">
        <v>0.28779253636938645</v>
      </c>
      <c r="I314" s="3">
        <v>0.1076923076923077</v>
      </c>
      <c r="J314" s="4">
        <v>73</v>
      </c>
      <c r="K314" s="4">
        <v>73</v>
      </c>
      <c r="L314" s="4">
        <v>90575170</v>
      </c>
      <c r="M314" s="5">
        <v>0.19158721256309591</v>
      </c>
      <c r="N314" s="5">
        <v>0.27224824355971899</v>
      </c>
      <c r="O314" s="5">
        <v>0.15698924731182795</v>
      </c>
      <c r="P314">
        <v>-25</v>
      </c>
      <c r="Q314" s="1">
        <v>-0.25510204081632654</v>
      </c>
      <c r="R314">
        <v>-8950370</v>
      </c>
      <c r="S314" s="1">
        <v>-8.9930383698495889E-2</v>
      </c>
    </row>
    <row r="315" spans="1:19" x14ac:dyDescent="0.45">
      <c r="A315" t="s">
        <v>44</v>
      </c>
      <c r="B315" t="s">
        <v>46</v>
      </c>
      <c r="C315" t="s">
        <v>389</v>
      </c>
      <c r="D315" s="2">
        <v>73</v>
      </c>
      <c r="E315" s="2">
        <v>83</v>
      </c>
      <c r="F315" s="2">
        <v>78860470</v>
      </c>
      <c r="G315" s="3">
        <v>0.26785260482846251</v>
      </c>
      <c r="H315" s="3">
        <v>0.28779253636938645</v>
      </c>
      <c r="I315" s="3">
        <v>9.1208791208791204E-2</v>
      </c>
      <c r="J315" s="4">
        <v>50</v>
      </c>
      <c r="K315" s="4">
        <v>51</v>
      </c>
      <c r="L315" s="4">
        <v>54616290</v>
      </c>
      <c r="M315" s="5">
        <v>0.19158721256309591</v>
      </c>
      <c r="N315" s="5">
        <v>0.27224824355971899</v>
      </c>
      <c r="O315" s="5">
        <v>0.10967741935483871</v>
      </c>
      <c r="P315">
        <v>-32</v>
      </c>
      <c r="Q315" s="1">
        <v>-0.38554216867469882</v>
      </c>
      <c r="R315">
        <v>-24244180</v>
      </c>
      <c r="S315" s="1">
        <v>-0.3074313404421759</v>
      </c>
    </row>
    <row r="316" spans="1:19" x14ac:dyDescent="0.45">
      <c r="A316" t="s">
        <v>44</v>
      </c>
      <c r="B316" t="s">
        <v>47</v>
      </c>
      <c r="C316" t="s">
        <v>390</v>
      </c>
      <c r="D316" s="2">
        <v>19</v>
      </c>
      <c r="E316" s="2">
        <v>22</v>
      </c>
      <c r="F316" s="2">
        <v>17146240</v>
      </c>
      <c r="G316" s="3">
        <v>0.26785260482846251</v>
      </c>
      <c r="H316" s="3">
        <v>2.8462998102466792E-2</v>
      </c>
      <c r="I316" s="3">
        <v>0.24444444444444444</v>
      </c>
      <c r="J316" s="4">
        <v>6</v>
      </c>
      <c r="K316" s="4">
        <v>6</v>
      </c>
      <c r="L316" s="4">
        <v>4713780</v>
      </c>
      <c r="M316" s="5">
        <v>0.19158721256309591</v>
      </c>
      <c r="N316" s="5">
        <v>3.7470725995316159E-2</v>
      </c>
      <c r="O316" s="5">
        <v>9.375E-2</v>
      </c>
      <c r="P316">
        <v>-16</v>
      </c>
      <c r="Q316" s="1">
        <v>-0.72727272727272729</v>
      </c>
      <c r="R316">
        <v>-12432460</v>
      </c>
      <c r="S316" s="1">
        <v>-0.72508375013997239</v>
      </c>
    </row>
    <row r="317" spans="1:19" x14ac:dyDescent="0.45">
      <c r="A317" t="s">
        <v>44</v>
      </c>
      <c r="B317" t="s">
        <v>47</v>
      </c>
      <c r="C317" t="s">
        <v>391</v>
      </c>
      <c r="D317" s="2">
        <v>10</v>
      </c>
      <c r="E317" s="2">
        <v>11</v>
      </c>
      <c r="F317" s="2">
        <v>10214130</v>
      </c>
      <c r="G317" s="3">
        <v>0.26785260482846251</v>
      </c>
      <c r="H317" s="3">
        <v>2.8462998102466792E-2</v>
      </c>
      <c r="I317" s="3">
        <v>0.12222222222222222</v>
      </c>
      <c r="J317" s="4">
        <v>7</v>
      </c>
      <c r="K317" s="4">
        <v>8</v>
      </c>
      <c r="L317" s="4">
        <v>7533110</v>
      </c>
      <c r="M317" s="5">
        <v>0.19158721256309591</v>
      </c>
      <c r="N317" s="5">
        <v>3.7470725995316159E-2</v>
      </c>
      <c r="O317" s="5">
        <v>0.125</v>
      </c>
      <c r="P317">
        <v>-3</v>
      </c>
      <c r="Q317" s="1">
        <v>-0.27272727272727271</v>
      </c>
      <c r="R317">
        <v>-2681020</v>
      </c>
      <c r="S317" s="1">
        <v>-0.2624814839834621</v>
      </c>
    </row>
    <row r="318" spans="1:19" x14ac:dyDescent="0.45">
      <c r="A318" t="s">
        <v>44</v>
      </c>
      <c r="B318" t="s">
        <v>47</v>
      </c>
      <c r="C318" t="s">
        <v>392</v>
      </c>
      <c r="D318" s="2">
        <v>19</v>
      </c>
      <c r="E318" s="2">
        <v>20</v>
      </c>
      <c r="F318" s="2">
        <v>16196020</v>
      </c>
      <c r="G318" s="3">
        <v>0.26785260482846251</v>
      </c>
      <c r="H318" s="3">
        <v>2.8462998102466792E-2</v>
      </c>
      <c r="I318" s="3">
        <v>0.22222222222222221</v>
      </c>
      <c r="J318" s="4">
        <v>20</v>
      </c>
      <c r="K318" s="4">
        <v>20</v>
      </c>
      <c r="L318" s="4">
        <v>16390300</v>
      </c>
      <c r="M318" s="5">
        <v>0.19158721256309591</v>
      </c>
      <c r="N318" s="5">
        <v>3.7470725995316159E-2</v>
      </c>
      <c r="O318" s="5">
        <v>0.3125</v>
      </c>
      <c r="P318">
        <v>0</v>
      </c>
      <c r="Q318" s="1">
        <v>0</v>
      </c>
      <c r="R318">
        <v>194280</v>
      </c>
      <c r="S318" s="1">
        <v>1.1995539644925111E-2</v>
      </c>
    </row>
    <row r="319" spans="1:19" x14ac:dyDescent="0.45">
      <c r="A319" t="s">
        <v>44</v>
      </c>
      <c r="B319" t="s">
        <v>47</v>
      </c>
      <c r="C319" t="s">
        <v>393</v>
      </c>
      <c r="D319" s="2">
        <v>12</v>
      </c>
      <c r="E319" s="2">
        <v>14</v>
      </c>
      <c r="F319" s="2">
        <v>13535980</v>
      </c>
      <c r="G319" s="3">
        <v>0.26785260482846251</v>
      </c>
      <c r="H319" s="3">
        <v>2.8462998102466792E-2</v>
      </c>
      <c r="I319" s="3">
        <v>0.15555555555555556</v>
      </c>
      <c r="J319" s="4">
        <v>5</v>
      </c>
      <c r="K319" s="4">
        <v>6</v>
      </c>
      <c r="L319" s="4">
        <v>5748480</v>
      </c>
      <c r="M319" s="5">
        <v>0.19158721256309591</v>
      </c>
      <c r="N319" s="5">
        <v>3.7470725995316159E-2</v>
      </c>
      <c r="O319" s="5">
        <v>9.375E-2</v>
      </c>
      <c r="P319">
        <v>-8</v>
      </c>
      <c r="Q319" s="1">
        <v>-0.5714285714285714</v>
      </c>
      <c r="R319">
        <v>-7787500</v>
      </c>
      <c r="S319" s="1">
        <v>-0.57531852145171614</v>
      </c>
    </row>
    <row r="320" spans="1:19" x14ac:dyDescent="0.45">
      <c r="A320" t="s">
        <v>44</v>
      </c>
      <c r="B320" t="s">
        <v>47</v>
      </c>
      <c r="C320" t="s">
        <v>394</v>
      </c>
      <c r="D320" s="2">
        <v>3</v>
      </c>
      <c r="E320" s="2">
        <v>3</v>
      </c>
      <c r="F320" s="2">
        <v>2575860</v>
      </c>
      <c r="G320" s="3">
        <v>0.26785260482846251</v>
      </c>
      <c r="H320" s="3">
        <v>2.8462998102466792E-2</v>
      </c>
      <c r="I320" s="3">
        <v>3.3333333333333333E-2</v>
      </c>
      <c r="J320" s="4">
        <v>5</v>
      </c>
      <c r="K320" s="4">
        <v>5</v>
      </c>
      <c r="L320" s="4">
        <v>4393150</v>
      </c>
      <c r="M320" s="5">
        <v>0.19158721256309591</v>
      </c>
      <c r="N320" s="5">
        <v>3.7470725995316159E-2</v>
      </c>
      <c r="O320" s="5">
        <v>7.8125E-2</v>
      </c>
      <c r="P320">
        <v>2</v>
      </c>
      <c r="Q320" s="1">
        <v>0.66666666666666663</v>
      </c>
      <c r="R320">
        <v>1817290</v>
      </c>
      <c r="S320" s="1">
        <v>0.70550806332642302</v>
      </c>
    </row>
    <row r="321" spans="1:19" x14ac:dyDescent="0.45">
      <c r="A321" t="s">
        <v>44</v>
      </c>
      <c r="B321" t="s">
        <v>47</v>
      </c>
      <c r="C321" t="s">
        <v>395</v>
      </c>
      <c r="D321" s="2">
        <v>2</v>
      </c>
      <c r="E321" s="2">
        <v>2</v>
      </c>
      <c r="F321" s="2">
        <v>2100090</v>
      </c>
      <c r="G321" s="3">
        <v>0.26785260482846251</v>
      </c>
      <c r="H321" s="3">
        <v>2.8462998102466792E-2</v>
      </c>
      <c r="I321" s="3">
        <v>2.2222222222222223E-2</v>
      </c>
      <c r="J321" s="4">
        <v>4</v>
      </c>
      <c r="K321" s="4">
        <v>4</v>
      </c>
      <c r="L321" s="4">
        <v>4190460</v>
      </c>
      <c r="M321" s="5">
        <v>0.19158721256309591</v>
      </c>
      <c r="N321" s="5">
        <v>3.7470725995316159E-2</v>
      </c>
      <c r="O321" s="5">
        <v>6.25E-2</v>
      </c>
      <c r="P321">
        <v>2</v>
      </c>
      <c r="Q321" s="1">
        <v>1</v>
      </c>
      <c r="R321">
        <v>2090370</v>
      </c>
      <c r="S321" s="1">
        <v>0.99537162693027437</v>
      </c>
    </row>
    <row r="322" spans="1:19" x14ac:dyDescent="0.45">
      <c r="A322" t="s">
        <v>44</v>
      </c>
      <c r="B322" t="s">
        <v>47</v>
      </c>
      <c r="C322" t="s">
        <v>396</v>
      </c>
      <c r="D322" s="2">
        <v>11</v>
      </c>
      <c r="E322" s="2">
        <v>14</v>
      </c>
      <c r="F322" s="2">
        <v>12959150</v>
      </c>
      <c r="G322" s="3">
        <v>0.26785260482846251</v>
      </c>
      <c r="H322" s="3">
        <v>2.8462998102466792E-2</v>
      </c>
      <c r="I322" s="3">
        <v>0.15555555555555556</v>
      </c>
      <c r="J322" s="4">
        <v>7</v>
      </c>
      <c r="K322" s="4">
        <v>7</v>
      </c>
      <c r="L322" s="4">
        <v>6429030</v>
      </c>
      <c r="M322" s="5">
        <v>0.19158721256309591</v>
      </c>
      <c r="N322" s="5">
        <v>3.7470725995316159E-2</v>
      </c>
      <c r="O322" s="5">
        <v>0.109375</v>
      </c>
      <c r="P322">
        <v>-7</v>
      </c>
      <c r="Q322" s="1">
        <v>-0.5</v>
      </c>
      <c r="R322">
        <v>-6530120</v>
      </c>
      <c r="S322" s="1">
        <v>-0.50390033296936909</v>
      </c>
    </row>
    <row r="323" spans="1:19" x14ac:dyDescent="0.45">
      <c r="A323" t="s">
        <v>44</v>
      </c>
      <c r="B323" t="s">
        <v>47</v>
      </c>
      <c r="C323" t="s">
        <v>397</v>
      </c>
      <c r="D323" s="2">
        <v>4</v>
      </c>
      <c r="E323" s="2">
        <v>4</v>
      </c>
      <c r="F323" s="2">
        <v>4402000</v>
      </c>
      <c r="G323" s="3">
        <v>0.26785260482846251</v>
      </c>
      <c r="H323" s="3">
        <v>2.8462998102466792E-2</v>
      </c>
      <c r="I323" s="3">
        <v>4.4444444444444446E-2</v>
      </c>
      <c r="J323" s="4">
        <v>8</v>
      </c>
      <c r="K323" s="4">
        <v>8</v>
      </c>
      <c r="L323" s="4">
        <v>8619970</v>
      </c>
      <c r="M323" s="5">
        <v>0.19158721256309591</v>
      </c>
      <c r="N323" s="5">
        <v>3.7470725995316159E-2</v>
      </c>
      <c r="O323" s="5">
        <v>0.125</v>
      </c>
      <c r="P323">
        <v>4</v>
      </c>
      <c r="Q323" s="1">
        <v>1</v>
      </c>
      <c r="R323">
        <v>4217970</v>
      </c>
      <c r="S323" s="1">
        <v>0.95819400272603361</v>
      </c>
    </row>
    <row r="324" spans="1:19" x14ac:dyDescent="0.45">
      <c r="A324" t="s">
        <v>44</v>
      </c>
      <c r="B324" t="s">
        <v>48</v>
      </c>
      <c r="C324" t="s">
        <v>49</v>
      </c>
      <c r="D324" s="2">
        <v>13</v>
      </c>
      <c r="E324" s="2">
        <v>14</v>
      </c>
      <c r="F324" s="2">
        <v>10764130</v>
      </c>
      <c r="G324" s="3">
        <v>0.26785260482846251</v>
      </c>
      <c r="H324" s="3">
        <v>0.33301707779886147</v>
      </c>
      <c r="I324" s="3">
        <v>1.3295346628679962E-2</v>
      </c>
      <c r="J324" s="4">
        <v>15</v>
      </c>
      <c r="K324" s="4">
        <v>18</v>
      </c>
      <c r="L324" s="4">
        <v>14090260</v>
      </c>
      <c r="M324" s="5">
        <v>0.19158721256309591</v>
      </c>
      <c r="N324" s="5">
        <v>0.34250585480093676</v>
      </c>
      <c r="O324" s="5">
        <v>3.0769230769230771E-2</v>
      </c>
      <c r="P324">
        <v>4</v>
      </c>
      <c r="Q324" s="1">
        <v>0.2857142857142857</v>
      </c>
      <c r="R324">
        <v>3326130</v>
      </c>
      <c r="S324" s="1">
        <v>0.30900128482283284</v>
      </c>
    </row>
    <row r="325" spans="1:19" x14ac:dyDescent="0.45">
      <c r="A325" t="s">
        <v>44</v>
      </c>
      <c r="B325" t="s">
        <v>48</v>
      </c>
      <c r="C325" t="s">
        <v>398</v>
      </c>
      <c r="D325" s="2">
        <v>281</v>
      </c>
      <c r="E325" s="2">
        <v>339</v>
      </c>
      <c r="F325" s="2">
        <v>146921580</v>
      </c>
      <c r="G325" s="3">
        <v>0.26785260482846251</v>
      </c>
      <c r="H325" s="3">
        <v>0.33301707779886147</v>
      </c>
      <c r="I325" s="3">
        <v>0.32193732193732194</v>
      </c>
      <c r="J325" s="4">
        <v>124</v>
      </c>
      <c r="K325" s="4">
        <v>144</v>
      </c>
      <c r="L325" s="4">
        <v>63037570</v>
      </c>
      <c r="M325" s="5">
        <v>0.19158721256309591</v>
      </c>
      <c r="N325" s="5">
        <v>0.34250585480093676</v>
      </c>
      <c r="O325" s="5">
        <v>0.24615384615384617</v>
      </c>
      <c r="P325">
        <v>-195</v>
      </c>
      <c r="Q325" s="1">
        <v>-0.5752212389380531</v>
      </c>
      <c r="R325">
        <v>-83884010</v>
      </c>
      <c r="S325" s="1">
        <v>-0.57094410501166681</v>
      </c>
    </row>
    <row r="326" spans="1:19" x14ac:dyDescent="0.45">
      <c r="A326" t="s">
        <v>44</v>
      </c>
      <c r="B326" t="s">
        <v>48</v>
      </c>
      <c r="C326" t="s">
        <v>399</v>
      </c>
      <c r="D326" s="2">
        <v>139</v>
      </c>
      <c r="E326" s="2">
        <v>152</v>
      </c>
      <c r="F326" s="2">
        <v>90098460</v>
      </c>
      <c r="G326" s="3">
        <v>0.26785260482846251</v>
      </c>
      <c r="H326" s="3">
        <v>0.33301707779886147</v>
      </c>
      <c r="I326" s="3">
        <v>0.14434947768281101</v>
      </c>
      <c r="J326" s="4">
        <v>79</v>
      </c>
      <c r="K326" s="4">
        <v>88</v>
      </c>
      <c r="L326" s="4">
        <v>52883710</v>
      </c>
      <c r="M326" s="5">
        <v>0.19158721256309591</v>
      </c>
      <c r="N326" s="5">
        <v>0.34250585480093676</v>
      </c>
      <c r="O326" s="5">
        <v>0.15042735042735042</v>
      </c>
      <c r="P326">
        <v>-64</v>
      </c>
      <c r="Q326" s="1">
        <v>-0.42105263157894735</v>
      </c>
      <c r="R326">
        <v>-37214750</v>
      </c>
      <c r="S326" s="1">
        <v>-0.41304535060865633</v>
      </c>
    </row>
    <row r="327" spans="1:19" x14ac:dyDescent="0.45">
      <c r="A327" t="s">
        <v>44</v>
      </c>
      <c r="B327" t="s">
        <v>48</v>
      </c>
      <c r="C327" t="s">
        <v>400</v>
      </c>
      <c r="D327" s="2">
        <v>151</v>
      </c>
      <c r="E327" s="2">
        <v>173</v>
      </c>
      <c r="F327" s="2">
        <v>84206060</v>
      </c>
      <c r="G327" s="3">
        <v>0.26785260482846251</v>
      </c>
      <c r="H327" s="3">
        <v>0.33301707779886147</v>
      </c>
      <c r="I327" s="3">
        <v>0.16429249762583095</v>
      </c>
      <c r="J327" s="4">
        <v>101</v>
      </c>
      <c r="K327" s="4">
        <v>119</v>
      </c>
      <c r="L327" s="4">
        <v>58364690</v>
      </c>
      <c r="M327" s="5">
        <v>0.19158721256309591</v>
      </c>
      <c r="N327" s="5">
        <v>0.34250585480093676</v>
      </c>
      <c r="O327" s="5">
        <v>0.20341880341880342</v>
      </c>
      <c r="P327">
        <v>-54</v>
      </c>
      <c r="Q327" s="1">
        <v>-0.31213872832369943</v>
      </c>
      <c r="R327">
        <v>-25841370</v>
      </c>
      <c r="S327" s="1">
        <v>-0.30688254503298218</v>
      </c>
    </row>
    <row r="328" spans="1:19" x14ac:dyDescent="0.45">
      <c r="A328" t="s">
        <v>44</v>
      </c>
      <c r="B328" t="s">
        <v>48</v>
      </c>
      <c r="C328" t="s">
        <v>401</v>
      </c>
      <c r="D328" s="2">
        <v>100</v>
      </c>
      <c r="E328" s="2">
        <v>113</v>
      </c>
      <c r="F328" s="2">
        <v>73337680</v>
      </c>
      <c r="G328" s="3">
        <v>0.26785260482846251</v>
      </c>
      <c r="H328" s="3">
        <v>0.33301707779886147</v>
      </c>
      <c r="I328" s="3">
        <v>0.10731244064577398</v>
      </c>
      <c r="J328" s="4">
        <v>59</v>
      </c>
      <c r="K328" s="4">
        <v>71</v>
      </c>
      <c r="L328" s="4">
        <v>46343880</v>
      </c>
      <c r="M328" s="5">
        <v>0.19158721256309591</v>
      </c>
      <c r="N328" s="5">
        <v>0.34250585480093676</v>
      </c>
      <c r="O328" s="5">
        <v>0.12136752136752137</v>
      </c>
      <c r="P328">
        <v>-42</v>
      </c>
      <c r="Q328" s="1">
        <v>-0.37168141592920356</v>
      </c>
      <c r="R328">
        <v>-26993800</v>
      </c>
      <c r="S328" s="1">
        <v>-0.36807545589115992</v>
      </c>
    </row>
    <row r="329" spans="1:19" x14ac:dyDescent="0.45">
      <c r="A329" t="s">
        <v>44</v>
      </c>
      <c r="B329" t="s">
        <v>48</v>
      </c>
      <c r="C329" t="s">
        <v>402</v>
      </c>
      <c r="D329" s="2">
        <v>73</v>
      </c>
      <c r="E329" s="2">
        <v>79</v>
      </c>
      <c r="F329" s="2">
        <v>48906140</v>
      </c>
      <c r="G329" s="3">
        <v>0.26785260482846251</v>
      </c>
      <c r="H329" s="3">
        <v>0.33301707779886147</v>
      </c>
      <c r="I329" s="3">
        <v>7.502374169040836E-2</v>
      </c>
      <c r="J329" s="4">
        <v>37</v>
      </c>
      <c r="K329" s="4">
        <v>38</v>
      </c>
      <c r="L329" s="4">
        <v>23701960</v>
      </c>
      <c r="M329" s="5">
        <v>0.19158721256309591</v>
      </c>
      <c r="N329" s="5">
        <v>0.34250585480093676</v>
      </c>
      <c r="O329" s="5">
        <v>6.4957264957264962E-2</v>
      </c>
      <c r="P329">
        <v>-41</v>
      </c>
      <c r="Q329" s="1">
        <v>-0.51898734177215189</v>
      </c>
      <c r="R329">
        <v>-25204180</v>
      </c>
      <c r="S329" s="1">
        <v>-0.51535819428807916</v>
      </c>
    </row>
    <row r="330" spans="1:19" x14ac:dyDescent="0.45">
      <c r="A330" t="s">
        <v>44</v>
      </c>
      <c r="B330" t="s">
        <v>48</v>
      </c>
      <c r="C330" t="s">
        <v>403</v>
      </c>
      <c r="D330" s="2">
        <v>41</v>
      </c>
      <c r="E330" s="2">
        <v>42</v>
      </c>
      <c r="F330" s="2">
        <v>33625230</v>
      </c>
      <c r="G330" s="3">
        <v>0.26785260482846251</v>
      </c>
      <c r="H330" s="3">
        <v>0.33301707779886147</v>
      </c>
      <c r="I330" s="3">
        <v>3.9886039886039885E-2</v>
      </c>
      <c r="J330" s="4">
        <v>27</v>
      </c>
      <c r="K330" s="4">
        <v>29</v>
      </c>
      <c r="L330" s="4">
        <v>23477620</v>
      </c>
      <c r="M330" s="5">
        <v>0.19158721256309591</v>
      </c>
      <c r="N330" s="5">
        <v>0.34250585480093676</v>
      </c>
      <c r="O330" s="5">
        <v>4.957264957264957E-2</v>
      </c>
      <c r="P330">
        <v>-13</v>
      </c>
      <c r="Q330" s="1">
        <v>-0.30952380952380953</v>
      </c>
      <c r="R330">
        <v>-10147610</v>
      </c>
      <c r="S330" s="1">
        <v>-0.30178559373422875</v>
      </c>
    </row>
    <row r="331" spans="1:19" x14ac:dyDescent="0.45">
      <c r="A331" t="s">
        <v>44</v>
      </c>
      <c r="B331" t="s">
        <v>48</v>
      </c>
      <c r="C331" t="s">
        <v>404</v>
      </c>
      <c r="D331" s="2">
        <v>131</v>
      </c>
      <c r="E331" s="2">
        <v>141</v>
      </c>
      <c r="F331" s="2">
        <v>90978260</v>
      </c>
      <c r="G331" s="3">
        <v>0.26785260482846251</v>
      </c>
      <c r="H331" s="3">
        <v>0.33301707779886147</v>
      </c>
      <c r="I331" s="3">
        <v>0.13390313390313391</v>
      </c>
      <c r="J331" s="4">
        <v>74</v>
      </c>
      <c r="K331" s="4">
        <v>78</v>
      </c>
      <c r="L331" s="4">
        <v>50449670</v>
      </c>
      <c r="M331" s="5">
        <v>0.19158721256309591</v>
      </c>
      <c r="N331" s="5">
        <v>0.34250585480093676</v>
      </c>
      <c r="O331" s="5">
        <v>0.13333333333333333</v>
      </c>
      <c r="P331">
        <v>-63</v>
      </c>
      <c r="Q331" s="1">
        <v>-0.44680851063829785</v>
      </c>
      <c r="R331">
        <v>-40528590</v>
      </c>
      <c r="S331" s="1">
        <v>-0.44547554547646878</v>
      </c>
    </row>
    <row r="332" spans="1:19" x14ac:dyDescent="0.45">
      <c r="A332" t="s">
        <v>50</v>
      </c>
      <c r="B332" t="s">
        <v>51</v>
      </c>
      <c r="C332" t="s">
        <v>405</v>
      </c>
      <c r="D332" s="2">
        <v>0</v>
      </c>
      <c r="E332" s="2">
        <v>0</v>
      </c>
      <c r="F332" s="2">
        <v>0</v>
      </c>
      <c r="G332" s="3">
        <v>3.9983058026260059E-2</v>
      </c>
      <c r="H332" s="3">
        <v>0.4788135593220339</v>
      </c>
      <c r="I332" s="3">
        <v>0</v>
      </c>
      <c r="J332" s="4">
        <v>1</v>
      </c>
      <c r="K332" s="4">
        <v>1</v>
      </c>
      <c r="L332" s="4">
        <v>356600</v>
      </c>
      <c r="M332" s="5">
        <v>4.6887268648345484E-2</v>
      </c>
      <c r="N332" s="5">
        <v>0.41626794258373206</v>
      </c>
      <c r="O332" s="5">
        <v>5.7471264367816091E-3</v>
      </c>
      <c r="P332">
        <v>1</v>
      </c>
      <c r="Q332" s="1">
        <v>1</v>
      </c>
      <c r="R332">
        <v>356600</v>
      </c>
      <c r="S332" s="1">
        <v>1</v>
      </c>
    </row>
    <row r="333" spans="1:19" x14ac:dyDescent="0.45">
      <c r="A333" t="s">
        <v>50</v>
      </c>
      <c r="B333" t="s">
        <v>51</v>
      </c>
      <c r="C333" t="s">
        <v>406</v>
      </c>
      <c r="D333" s="2">
        <v>1</v>
      </c>
      <c r="E333" s="2">
        <v>1</v>
      </c>
      <c r="F333" s="2">
        <v>356600</v>
      </c>
      <c r="G333" s="3">
        <v>3.9983058026260059E-2</v>
      </c>
      <c r="H333" s="3">
        <v>0.4788135593220339</v>
      </c>
      <c r="I333" s="3">
        <v>4.4247787610619468E-3</v>
      </c>
      <c r="J333" s="4">
        <v>1</v>
      </c>
      <c r="K333" s="4">
        <v>1</v>
      </c>
      <c r="L333" s="4">
        <v>338760</v>
      </c>
      <c r="M333" s="5">
        <v>4.6887268648345484E-2</v>
      </c>
      <c r="N333" s="5">
        <v>0.41626794258373206</v>
      </c>
      <c r="O333" s="5">
        <v>5.7471264367816091E-3</v>
      </c>
      <c r="P333">
        <v>0</v>
      </c>
      <c r="Q333" s="1">
        <v>0</v>
      </c>
      <c r="R333">
        <v>-17840</v>
      </c>
      <c r="S333" s="1">
        <v>-5.002804262478968E-2</v>
      </c>
    </row>
    <row r="334" spans="1:19" x14ac:dyDescent="0.45">
      <c r="A334" t="s">
        <v>50</v>
      </c>
      <c r="B334" t="s">
        <v>51</v>
      </c>
      <c r="C334" t="s">
        <v>407</v>
      </c>
      <c r="D334" s="2">
        <v>31</v>
      </c>
      <c r="E334" s="2">
        <v>33</v>
      </c>
      <c r="F334" s="2">
        <v>11530340</v>
      </c>
      <c r="G334" s="3">
        <v>3.9983058026260059E-2</v>
      </c>
      <c r="H334" s="3">
        <v>0.4788135593220339</v>
      </c>
      <c r="I334" s="3">
        <v>0.14601769911504425</v>
      </c>
      <c r="J334" s="4">
        <v>19</v>
      </c>
      <c r="K334" s="4">
        <v>19</v>
      </c>
      <c r="L334" s="4">
        <v>6776020</v>
      </c>
      <c r="M334" s="5">
        <v>4.6887268648345484E-2</v>
      </c>
      <c r="N334" s="5">
        <v>0.41626794258373206</v>
      </c>
      <c r="O334" s="5">
        <v>0.10919540229885058</v>
      </c>
      <c r="P334">
        <v>-14</v>
      </c>
      <c r="Q334" s="1">
        <v>-0.42424242424242425</v>
      </c>
      <c r="R334">
        <v>-4754320</v>
      </c>
      <c r="S334" s="1">
        <v>-0.4123312929193762</v>
      </c>
    </row>
    <row r="335" spans="1:19" x14ac:dyDescent="0.45">
      <c r="A335" t="s">
        <v>50</v>
      </c>
      <c r="B335" t="s">
        <v>51</v>
      </c>
      <c r="C335" t="s">
        <v>408</v>
      </c>
      <c r="D335" s="2">
        <v>1</v>
      </c>
      <c r="E335" s="2">
        <v>1</v>
      </c>
      <c r="F335" s="2">
        <v>271720</v>
      </c>
      <c r="G335" s="3">
        <v>3.9983058026260059E-2</v>
      </c>
      <c r="H335" s="3">
        <v>0.4788135593220339</v>
      </c>
      <c r="I335" s="3">
        <v>4.4247787610619468E-3</v>
      </c>
      <c r="J335" s="4">
        <v>1</v>
      </c>
      <c r="K335" s="4">
        <v>1</v>
      </c>
      <c r="L335" s="4">
        <v>286030</v>
      </c>
      <c r="M335" s="5">
        <v>4.6887268648345484E-2</v>
      </c>
      <c r="N335" s="5">
        <v>0.41626794258373206</v>
      </c>
      <c r="O335" s="5">
        <v>5.7471264367816091E-3</v>
      </c>
      <c r="P335">
        <v>0</v>
      </c>
      <c r="Q335" s="1">
        <v>0</v>
      </c>
      <c r="R335">
        <v>14310</v>
      </c>
      <c r="S335" s="1">
        <v>5.2664507581333724E-2</v>
      </c>
    </row>
    <row r="336" spans="1:19" x14ac:dyDescent="0.45">
      <c r="A336" t="s">
        <v>50</v>
      </c>
      <c r="B336" t="s">
        <v>51</v>
      </c>
      <c r="C336" t="s">
        <v>409</v>
      </c>
      <c r="D336" s="2">
        <v>1</v>
      </c>
      <c r="E336" s="2">
        <v>1</v>
      </c>
      <c r="F336" s="2">
        <v>221480</v>
      </c>
      <c r="G336" s="3">
        <v>3.9983058026260059E-2</v>
      </c>
      <c r="H336" s="3">
        <v>0.4788135593220339</v>
      </c>
      <c r="I336" s="3">
        <v>4.4247787610619468E-3</v>
      </c>
      <c r="J336" s="4">
        <v>1</v>
      </c>
      <c r="K336" s="4">
        <v>1</v>
      </c>
      <c r="L336" s="4">
        <v>271730</v>
      </c>
      <c r="M336" s="5">
        <v>4.6887268648345484E-2</v>
      </c>
      <c r="N336" s="5">
        <v>0.41626794258373206</v>
      </c>
      <c r="O336" s="5">
        <v>5.7471264367816091E-3</v>
      </c>
      <c r="P336">
        <v>0</v>
      </c>
      <c r="Q336" s="1">
        <v>0</v>
      </c>
      <c r="R336">
        <v>50250</v>
      </c>
      <c r="S336" s="1">
        <v>0.22688278851363555</v>
      </c>
    </row>
    <row r="337" spans="1:19" x14ac:dyDescent="0.45">
      <c r="A337" t="s">
        <v>50</v>
      </c>
      <c r="B337" t="s">
        <v>51</v>
      </c>
      <c r="C337" t="s">
        <v>410</v>
      </c>
      <c r="D337" s="2">
        <v>13</v>
      </c>
      <c r="E337" s="2">
        <v>16</v>
      </c>
      <c r="F337" s="2">
        <v>4587250</v>
      </c>
      <c r="G337" s="3">
        <v>3.9983058026260059E-2</v>
      </c>
      <c r="H337" s="3">
        <v>0.4788135593220339</v>
      </c>
      <c r="I337" s="3">
        <v>7.0796460176991149E-2</v>
      </c>
      <c r="J337" s="4">
        <v>4</v>
      </c>
      <c r="K337" s="4">
        <v>5</v>
      </c>
      <c r="L337" s="4">
        <v>1422000</v>
      </c>
      <c r="M337" s="5">
        <v>4.6887268648345484E-2</v>
      </c>
      <c r="N337" s="5">
        <v>0.41626794258373206</v>
      </c>
      <c r="O337" s="5">
        <v>2.8735632183908046E-2</v>
      </c>
      <c r="P337">
        <v>-11</v>
      </c>
      <c r="Q337" s="1">
        <v>-0.6875</v>
      </c>
      <c r="R337">
        <v>-3165250</v>
      </c>
      <c r="S337" s="1">
        <v>-0.69001035478772688</v>
      </c>
    </row>
    <row r="338" spans="1:19" x14ac:dyDescent="0.45">
      <c r="A338" t="s">
        <v>50</v>
      </c>
      <c r="B338" t="s">
        <v>51</v>
      </c>
      <c r="C338" t="s">
        <v>411</v>
      </c>
      <c r="D338" s="2">
        <v>-1</v>
      </c>
      <c r="E338" s="2">
        <v>-1</v>
      </c>
      <c r="F338" s="2">
        <v>-301000</v>
      </c>
      <c r="G338" s="3">
        <v>3.9983058026260059E-2</v>
      </c>
      <c r="H338" s="3">
        <v>0.4788135593220339</v>
      </c>
      <c r="I338" s="3">
        <v>-4.4247787610619468E-3</v>
      </c>
      <c r="J338" s="4">
        <v>0</v>
      </c>
      <c r="K338" s="4">
        <v>0</v>
      </c>
      <c r="L338" s="4">
        <v>0</v>
      </c>
      <c r="M338" s="5">
        <v>4.6887268648345484E-2</v>
      </c>
      <c r="N338" s="5">
        <v>0.41626794258373206</v>
      </c>
      <c r="O338" s="5">
        <v>0</v>
      </c>
      <c r="P338">
        <v>1</v>
      </c>
      <c r="Q338" s="1">
        <v>-1</v>
      </c>
      <c r="R338">
        <v>301000</v>
      </c>
      <c r="S338" s="1">
        <v>-1</v>
      </c>
    </row>
    <row r="339" spans="1:19" x14ac:dyDescent="0.45">
      <c r="A339" t="s">
        <v>50</v>
      </c>
      <c r="B339" t="s">
        <v>51</v>
      </c>
      <c r="C339" t="s">
        <v>412</v>
      </c>
      <c r="D339" s="2">
        <v>1</v>
      </c>
      <c r="E339" s="2">
        <v>1</v>
      </c>
      <c r="F339" s="2">
        <v>269000</v>
      </c>
      <c r="G339" s="3">
        <v>3.9983058026260059E-2</v>
      </c>
      <c r="H339" s="3">
        <v>0.4788135593220339</v>
      </c>
      <c r="I339" s="3">
        <v>4.4247787610619468E-3</v>
      </c>
      <c r="J339" s="4">
        <v>6</v>
      </c>
      <c r="K339" s="4">
        <v>6</v>
      </c>
      <c r="L339" s="4">
        <v>1507920</v>
      </c>
      <c r="M339" s="5">
        <v>4.6887268648345484E-2</v>
      </c>
      <c r="N339" s="5">
        <v>0.41626794258373206</v>
      </c>
      <c r="O339" s="5">
        <v>3.4482758620689655E-2</v>
      </c>
      <c r="P339">
        <v>5</v>
      </c>
      <c r="Q339" s="1">
        <v>5</v>
      </c>
      <c r="R339">
        <v>1238920</v>
      </c>
      <c r="S339" s="1">
        <v>4.6056505576208178</v>
      </c>
    </row>
    <row r="340" spans="1:19" x14ac:dyDescent="0.45">
      <c r="A340" t="s">
        <v>50</v>
      </c>
      <c r="B340" t="s">
        <v>51</v>
      </c>
      <c r="C340" t="s">
        <v>413</v>
      </c>
      <c r="D340" s="2">
        <v>2</v>
      </c>
      <c r="E340" s="2">
        <v>2</v>
      </c>
      <c r="F340" s="2">
        <v>514030</v>
      </c>
      <c r="G340" s="3">
        <v>3.9983058026260059E-2</v>
      </c>
      <c r="H340" s="3">
        <v>0.4788135593220339</v>
      </c>
      <c r="I340" s="3">
        <v>8.8495575221238937E-3</v>
      </c>
      <c r="J340" s="4">
        <v>3</v>
      </c>
      <c r="K340" s="4">
        <v>4</v>
      </c>
      <c r="L340" s="4">
        <v>999750</v>
      </c>
      <c r="M340" s="5">
        <v>4.6887268648345484E-2</v>
      </c>
      <c r="N340" s="5">
        <v>0.41626794258373206</v>
      </c>
      <c r="O340" s="5">
        <v>2.2988505747126436E-2</v>
      </c>
      <c r="P340">
        <v>2</v>
      </c>
      <c r="Q340" s="1">
        <v>1</v>
      </c>
      <c r="R340">
        <v>485720</v>
      </c>
      <c r="S340" s="1">
        <v>0.94492539345952575</v>
      </c>
    </row>
    <row r="341" spans="1:19" x14ac:dyDescent="0.45">
      <c r="A341" t="s">
        <v>50</v>
      </c>
      <c r="B341" t="s">
        <v>51</v>
      </c>
      <c r="C341" t="s">
        <v>414</v>
      </c>
      <c r="D341" s="2">
        <v>16</v>
      </c>
      <c r="E341" s="2">
        <v>16</v>
      </c>
      <c r="F341" s="2">
        <v>4079680</v>
      </c>
      <c r="G341" s="3">
        <v>3.9983058026260059E-2</v>
      </c>
      <c r="H341" s="3">
        <v>0.4788135593220339</v>
      </c>
      <c r="I341" s="3">
        <v>7.0796460176991149E-2</v>
      </c>
      <c r="J341" s="4">
        <v>7</v>
      </c>
      <c r="K341" s="4">
        <v>7</v>
      </c>
      <c r="L341" s="4">
        <v>1727010</v>
      </c>
      <c r="M341" s="5">
        <v>4.6887268648345484E-2</v>
      </c>
      <c r="N341" s="5">
        <v>0.41626794258373206</v>
      </c>
      <c r="O341" s="5">
        <v>4.0229885057471264E-2</v>
      </c>
      <c r="P341">
        <v>-9</v>
      </c>
      <c r="Q341" s="1">
        <v>-0.5625</v>
      </c>
      <c r="R341">
        <v>-2352670</v>
      </c>
      <c r="S341" s="1">
        <v>-0.57668003372813559</v>
      </c>
    </row>
    <row r="342" spans="1:19" x14ac:dyDescent="0.45">
      <c r="A342" t="s">
        <v>50</v>
      </c>
      <c r="B342" t="s">
        <v>51</v>
      </c>
      <c r="C342" t="s">
        <v>415</v>
      </c>
      <c r="D342" s="2">
        <v>1</v>
      </c>
      <c r="E342" s="2">
        <v>1</v>
      </c>
      <c r="F342" s="2">
        <v>224000</v>
      </c>
      <c r="G342" s="3">
        <v>3.9983058026260059E-2</v>
      </c>
      <c r="H342" s="3">
        <v>0.4788135593220339</v>
      </c>
      <c r="I342" s="3">
        <v>4.4247787610619468E-3</v>
      </c>
      <c r="J342" s="4">
        <v>0</v>
      </c>
      <c r="K342" s="4">
        <v>0</v>
      </c>
      <c r="L342" s="4">
        <v>0</v>
      </c>
      <c r="M342" s="5">
        <v>4.6887268648345484E-2</v>
      </c>
      <c r="N342" s="5">
        <v>0.41626794258373206</v>
      </c>
      <c r="O342" s="5">
        <v>0</v>
      </c>
      <c r="P342">
        <v>-1</v>
      </c>
      <c r="Q342" s="1">
        <v>-1</v>
      </c>
      <c r="R342">
        <v>-224000</v>
      </c>
      <c r="S342" s="1">
        <v>-1</v>
      </c>
    </row>
    <row r="343" spans="1:19" x14ac:dyDescent="0.45">
      <c r="A343" t="s">
        <v>50</v>
      </c>
      <c r="B343" t="s">
        <v>51</v>
      </c>
      <c r="C343" t="s">
        <v>416</v>
      </c>
      <c r="D343" s="2">
        <v>6</v>
      </c>
      <c r="E343" s="2">
        <v>7</v>
      </c>
      <c r="F343" s="2">
        <v>1459410</v>
      </c>
      <c r="G343" s="3">
        <v>3.9983058026260059E-2</v>
      </c>
      <c r="H343" s="3">
        <v>0.4788135593220339</v>
      </c>
      <c r="I343" s="3">
        <v>3.0973451327433628E-2</v>
      </c>
      <c r="J343" s="4">
        <v>6</v>
      </c>
      <c r="K343" s="4">
        <v>7</v>
      </c>
      <c r="L343" s="4">
        <v>1484230</v>
      </c>
      <c r="M343" s="5">
        <v>4.6887268648345484E-2</v>
      </c>
      <c r="N343" s="5">
        <v>0.41626794258373206</v>
      </c>
      <c r="O343" s="5">
        <v>4.0229885057471264E-2</v>
      </c>
      <c r="P343">
        <v>0</v>
      </c>
      <c r="Q343" s="1">
        <v>0</v>
      </c>
      <c r="R343">
        <v>24820</v>
      </c>
      <c r="S343" s="1">
        <v>1.7006872640313551E-2</v>
      </c>
    </row>
    <row r="344" spans="1:19" x14ac:dyDescent="0.45">
      <c r="A344" t="s">
        <v>50</v>
      </c>
      <c r="B344" t="s">
        <v>51</v>
      </c>
      <c r="C344" t="s">
        <v>417</v>
      </c>
      <c r="D344" s="2">
        <v>0</v>
      </c>
      <c r="E344" s="2">
        <v>0</v>
      </c>
      <c r="F344" s="2">
        <v>0</v>
      </c>
      <c r="G344" s="3">
        <v>3.9983058026260059E-2</v>
      </c>
      <c r="H344" s="3">
        <v>0.4788135593220339</v>
      </c>
      <c r="I344" s="3">
        <v>0</v>
      </c>
      <c r="J344" s="4">
        <v>1</v>
      </c>
      <c r="K344" s="4">
        <v>1</v>
      </c>
      <c r="L344" s="4">
        <v>210770</v>
      </c>
      <c r="M344" s="5">
        <v>4.6887268648345484E-2</v>
      </c>
      <c r="N344" s="5">
        <v>0.41626794258373206</v>
      </c>
      <c r="O344" s="5">
        <v>5.7471264367816091E-3</v>
      </c>
      <c r="P344">
        <v>1</v>
      </c>
      <c r="Q344" s="1">
        <v>1</v>
      </c>
      <c r="R344">
        <v>210770</v>
      </c>
      <c r="S344" s="1">
        <v>1</v>
      </c>
    </row>
    <row r="345" spans="1:19" x14ac:dyDescent="0.45">
      <c r="A345" t="s">
        <v>50</v>
      </c>
      <c r="B345" t="s">
        <v>51</v>
      </c>
      <c r="C345" t="s">
        <v>418</v>
      </c>
      <c r="D345" s="2">
        <v>1</v>
      </c>
      <c r="E345" s="2">
        <v>1</v>
      </c>
      <c r="F345" s="2">
        <v>212800</v>
      </c>
      <c r="G345" s="3">
        <v>3.9983058026260059E-2</v>
      </c>
      <c r="H345" s="3">
        <v>0.4788135593220339</v>
      </c>
      <c r="I345" s="3">
        <v>4.4247787610619468E-3</v>
      </c>
      <c r="J345" s="4">
        <v>0</v>
      </c>
      <c r="K345" s="4">
        <v>0</v>
      </c>
      <c r="L345" s="4">
        <v>0</v>
      </c>
      <c r="M345" s="5">
        <v>4.6887268648345484E-2</v>
      </c>
      <c r="N345" s="5">
        <v>0.41626794258373206</v>
      </c>
      <c r="O345" s="5">
        <v>0</v>
      </c>
      <c r="P345">
        <v>-1</v>
      </c>
      <c r="Q345" s="1">
        <v>-1</v>
      </c>
      <c r="R345">
        <v>-212800</v>
      </c>
      <c r="S345" s="1">
        <v>-1</v>
      </c>
    </row>
    <row r="346" spans="1:19" x14ac:dyDescent="0.45">
      <c r="A346" t="s">
        <v>50</v>
      </c>
      <c r="B346" t="s">
        <v>51</v>
      </c>
      <c r="C346" t="s">
        <v>419</v>
      </c>
      <c r="D346" s="2">
        <v>5</v>
      </c>
      <c r="E346" s="2">
        <v>6</v>
      </c>
      <c r="F346" s="2">
        <v>1243530</v>
      </c>
      <c r="G346" s="3">
        <v>3.9983058026260059E-2</v>
      </c>
      <c r="H346" s="3">
        <v>0.4788135593220339</v>
      </c>
      <c r="I346" s="3">
        <v>2.6548672566371681E-2</v>
      </c>
      <c r="J346" s="4">
        <v>0</v>
      </c>
      <c r="K346" s="4">
        <v>0</v>
      </c>
      <c r="L346" s="4">
        <v>0</v>
      </c>
      <c r="M346" s="5">
        <v>4.6887268648345484E-2</v>
      </c>
      <c r="N346" s="5">
        <v>0.41626794258373206</v>
      </c>
      <c r="O346" s="5">
        <v>0</v>
      </c>
      <c r="P346">
        <v>-6</v>
      </c>
      <c r="Q346" s="1">
        <v>-1</v>
      </c>
      <c r="R346">
        <v>-1243530</v>
      </c>
      <c r="S346" s="1">
        <v>-1</v>
      </c>
    </row>
    <row r="347" spans="1:19" x14ac:dyDescent="0.45">
      <c r="A347" t="s">
        <v>50</v>
      </c>
      <c r="B347" t="s">
        <v>51</v>
      </c>
      <c r="C347" t="s">
        <v>420</v>
      </c>
      <c r="D347" s="2">
        <v>11</v>
      </c>
      <c r="E347" s="2">
        <v>11</v>
      </c>
      <c r="F347" s="2">
        <v>2342770</v>
      </c>
      <c r="G347" s="3">
        <v>3.9983058026260059E-2</v>
      </c>
      <c r="H347" s="3">
        <v>0.4788135593220339</v>
      </c>
      <c r="I347" s="3">
        <v>4.8672566371681415E-2</v>
      </c>
      <c r="J347" s="4">
        <v>8</v>
      </c>
      <c r="K347" s="4">
        <v>9</v>
      </c>
      <c r="L347" s="4">
        <v>1862430</v>
      </c>
      <c r="M347" s="5">
        <v>4.6887268648345484E-2</v>
      </c>
      <c r="N347" s="5">
        <v>0.41626794258373206</v>
      </c>
      <c r="O347" s="5">
        <v>5.1724137931034482E-2</v>
      </c>
      <c r="P347">
        <v>-2</v>
      </c>
      <c r="Q347" s="1">
        <v>-0.18181818181818182</v>
      </c>
      <c r="R347">
        <v>-480340</v>
      </c>
      <c r="S347" s="1">
        <v>-0.20503079687720091</v>
      </c>
    </row>
    <row r="348" spans="1:19" x14ac:dyDescent="0.45">
      <c r="A348" t="s">
        <v>50</v>
      </c>
      <c r="B348" t="s">
        <v>51</v>
      </c>
      <c r="C348" t="s">
        <v>421</v>
      </c>
      <c r="D348" s="2">
        <v>2</v>
      </c>
      <c r="E348" s="2">
        <v>2</v>
      </c>
      <c r="F348" s="2">
        <v>322940</v>
      </c>
      <c r="G348" s="3">
        <v>3.9983058026260059E-2</v>
      </c>
      <c r="H348" s="3">
        <v>0.4788135593220339</v>
      </c>
      <c r="I348" s="3">
        <v>8.8495575221238937E-3</v>
      </c>
      <c r="J348" s="4">
        <v>0</v>
      </c>
      <c r="K348" s="4">
        <v>0</v>
      </c>
      <c r="L348" s="4">
        <v>0</v>
      </c>
      <c r="M348" s="5">
        <v>4.6887268648345484E-2</v>
      </c>
      <c r="N348" s="5">
        <v>0.41626794258373206</v>
      </c>
      <c r="O348" s="5">
        <v>0</v>
      </c>
      <c r="P348">
        <v>-2</v>
      </c>
      <c r="Q348" s="1">
        <v>-1</v>
      </c>
      <c r="R348">
        <v>-322940</v>
      </c>
      <c r="S348" s="1">
        <v>-1</v>
      </c>
    </row>
    <row r="349" spans="1:19" x14ac:dyDescent="0.45">
      <c r="A349" t="s">
        <v>50</v>
      </c>
      <c r="B349" t="s">
        <v>51</v>
      </c>
      <c r="C349" t="s">
        <v>422</v>
      </c>
      <c r="D349" s="2">
        <v>19</v>
      </c>
      <c r="E349" s="2">
        <v>23</v>
      </c>
      <c r="F349" s="2">
        <v>3640490</v>
      </c>
      <c r="G349" s="3">
        <v>3.9983058026260059E-2</v>
      </c>
      <c r="H349" s="3">
        <v>0.4788135593220339</v>
      </c>
      <c r="I349" s="3">
        <v>0.10176991150442478</v>
      </c>
      <c r="J349" s="4">
        <v>13</v>
      </c>
      <c r="K349" s="4">
        <v>20</v>
      </c>
      <c r="L349" s="4">
        <v>3097795</v>
      </c>
      <c r="M349" s="5">
        <v>4.6887268648345484E-2</v>
      </c>
      <c r="N349" s="5">
        <v>0.41626794258373206</v>
      </c>
      <c r="O349" s="5">
        <v>0.11494252873563218</v>
      </c>
      <c r="P349">
        <v>-3</v>
      </c>
      <c r="Q349" s="1">
        <v>-0.13043478260869565</v>
      </c>
      <c r="R349">
        <v>-542695</v>
      </c>
      <c r="S349" s="1">
        <v>-0.1490719655870501</v>
      </c>
    </row>
    <row r="350" spans="1:19" x14ac:dyDescent="0.45">
      <c r="A350" t="s">
        <v>50</v>
      </c>
      <c r="B350" t="s">
        <v>51</v>
      </c>
      <c r="C350" t="s">
        <v>423</v>
      </c>
      <c r="D350" s="2">
        <v>1</v>
      </c>
      <c r="E350" s="2">
        <v>1</v>
      </c>
      <c r="F350" s="2">
        <v>149380</v>
      </c>
      <c r="G350" s="3">
        <v>3.9983058026260059E-2</v>
      </c>
      <c r="H350" s="3">
        <v>0.4788135593220339</v>
      </c>
      <c r="I350" s="3">
        <v>4.4247787610619468E-3</v>
      </c>
      <c r="J350" s="4">
        <v>1</v>
      </c>
      <c r="K350" s="4">
        <v>1</v>
      </c>
      <c r="L350" s="4">
        <v>128540</v>
      </c>
      <c r="M350" s="5">
        <v>4.6887268648345484E-2</v>
      </c>
      <c r="N350" s="5">
        <v>0.41626794258373206</v>
      </c>
      <c r="O350" s="5">
        <v>5.7471264367816091E-3</v>
      </c>
      <c r="P350">
        <v>0</v>
      </c>
      <c r="Q350" s="1">
        <v>0</v>
      </c>
      <c r="R350">
        <v>-20840</v>
      </c>
      <c r="S350" s="1">
        <v>-0.13950997456152095</v>
      </c>
    </row>
    <row r="351" spans="1:19" x14ac:dyDescent="0.45">
      <c r="A351" t="s">
        <v>50</v>
      </c>
      <c r="B351" t="s">
        <v>51</v>
      </c>
      <c r="C351" t="s">
        <v>424</v>
      </c>
      <c r="D351" s="2">
        <v>1</v>
      </c>
      <c r="E351" s="2">
        <v>2</v>
      </c>
      <c r="F351" s="2">
        <v>284750</v>
      </c>
      <c r="G351" s="3">
        <v>3.9983058026260059E-2</v>
      </c>
      <c r="H351" s="3">
        <v>0.4788135593220339</v>
      </c>
      <c r="I351" s="3">
        <v>8.8495575221238937E-3</v>
      </c>
      <c r="J351" s="4">
        <v>4</v>
      </c>
      <c r="K351" s="4">
        <v>5</v>
      </c>
      <c r="L351" s="4">
        <v>738070</v>
      </c>
      <c r="M351" s="5">
        <v>4.6887268648345484E-2</v>
      </c>
      <c r="N351" s="5">
        <v>0.41626794258373206</v>
      </c>
      <c r="O351" s="5">
        <v>2.8735632183908046E-2</v>
      </c>
      <c r="P351">
        <v>3</v>
      </c>
      <c r="Q351" s="1">
        <v>1.5</v>
      </c>
      <c r="R351">
        <v>453320</v>
      </c>
      <c r="S351" s="1">
        <v>1.5919929762949956</v>
      </c>
    </row>
    <row r="352" spans="1:19" x14ac:dyDescent="0.45">
      <c r="A352" t="s">
        <v>50</v>
      </c>
      <c r="B352" t="s">
        <v>51</v>
      </c>
      <c r="C352" t="s">
        <v>425</v>
      </c>
      <c r="D352" s="2">
        <v>1</v>
      </c>
      <c r="E352" s="2">
        <v>2</v>
      </c>
      <c r="F352" s="2">
        <v>308000</v>
      </c>
      <c r="G352" s="3">
        <v>3.9983058026260059E-2</v>
      </c>
      <c r="H352" s="3">
        <v>0.4788135593220339</v>
      </c>
      <c r="I352" s="3">
        <v>8.8495575221238937E-3</v>
      </c>
      <c r="J352" s="4">
        <v>0</v>
      </c>
      <c r="K352" s="4">
        <v>0</v>
      </c>
      <c r="L352" s="4">
        <v>0</v>
      </c>
      <c r="M352" s="5">
        <v>4.6887268648345484E-2</v>
      </c>
      <c r="N352" s="5">
        <v>0.41626794258373206</v>
      </c>
      <c r="O352" s="5">
        <v>0</v>
      </c>
      <c r="P352">
        <v>-2</v>
      </c>
      <c r="Q352" s="1">
        <v>-1</v>
      </c>
      <c r="R352">
        <v>-308000</v>
      </c>
      <c r="S352" s="1">
        <v>-1</v>
      </c>
    </row>
    <row r="353" spans="1:19" x14ac:dyDescent="0.45">
      <c r="A353" t="s">
        <v>50</v>
      </c>
      <c r="B353" t="s">
        <v>51</v>
      </c>
      <c r="C353" t="s">
        <v>426</v>
      </c>
      <c r="D353" s="2">
        <v>0</v>
      </c>
      <c r="E353" s="2">
        <v>0</v>
      </c>
      <c r="F353" s="2">
        <v>0</v>
      </c>
      <c r="G353" s="3">
        <v>3.9983058026260059E-2</v>
      </c>
      <c r="H353" s="3">
        <v>0.4788135593220339</v>
      </c>
      <c r="I353" s="3">
        <v>0</v>
      </c>
      <c r="J353" s="4">
        <v>0</v>
      </c>
      <c r="K353" s="4">
        <v>0</v>
      </c>
      <c r="L353" s="4">
        <v>-9200</v>
      </c>
      <c r="M353" s="5">
        <v>4.6887268648345484E-2</v>
      </c>
      <c r="N353" s="5">
        <v>0.41626794258373206</v>
      </c>
      <c r="O353" s="5">
        <v>0</v>
      </c>
      <c r="P353">
        <v>0</v>
      </c>
      <c r="Q353" s="1">
        <v>0</v>
      </c>
      <c r="R353">
        <v>-9200</v>
      </c>
      <c r="S353" s="1">
        <v>0</v>
      </c>
    </row>
    <row r="354" spans="1:19" x14ac:dyDescent="0.45">
      <c r="A354" t="s">
        <v>50</v>
      </c>
      <c r="B354" t="s">
        <v>51</v>
      </c>
      <c r="C354" t="s">
        <v>427</v>
      </c>
      <c r="D354" s="2">
        <v>3</v>
      </c>
      <c r="E354" s="2">
        <v>4</v>
      </c>
      <c r="F354" s="2">
        <v>588690</v>
      </c>
      <c r="G354" s="3">
        <v>3.9983058026260059E-2</v>
      </c>
      <c r="H354" s="3">
        <v>0.4788135593220339</v>
      </c>
      <c r="I354" s="3">
        <v>1.7699115044247787E-2</v>
      </c>
      <c r="J354" s="4">
        <v>3</v>
      </c>
      <c r="K354" s="4">
        <v>5</v>
      </c>
      <c r="L354" s="4">
        <v>732010</v>
      </c>
      <c r="M354" s="5">
        <v>4.6887268648345484E-2</v>
      </c>
      <c r="N354" s="5">
        <v>0.41626794258373206</v>
      </c>
      <c r="O354" s="5">
        <v>2.8735632183908046E-2</v>
      </c>
      <c r="P354">
        <v>1</v>
      </c>
      <c r="Q354" s="1">
        <v>0.25</v>
      </c>
      <c r="R354">
        <v>143320</v>
      </c>
      <c r="S354" s="1">
        <v>0.2434558086599059</v>
      </c>
    </row>
    <row r="355" spans="1:19" x14ac:dyDescent="0.45">
      <c r="A355" t="s">
        <v>50</v>
      </c>
      <c r="B355" t="s">
        <v>51</v>
      </c>
      <c r="C355" t="s">
        <v>428</v>
      </c>
      <c r="D355" s="2">
        <v>25</v>
      </c>
      <c r="E355" s="2">
        <v>35</v>
      </c>
      <c r="F355" s="2">
        <v>5088440</v>
      </c>
      <c r="G355" s="3">
        <v>3.9983058026260059E-2</v>
      </c>
      <c r="H355" s="3">
        <v>0.4788135593220339</v>
      </c>
      <c r="I355" s="3">
        <v>0.15486725663716813</v>
      </c>
      <c r="J355" s="4">
        <v>14</v>
      </c>
      <c r="K355" s="4">
        <v>19</v>
      </c>
      <c r="L355" s="4">
        <v>2726020</v>
      </c>
      <c r="M355" s="5">
        <v>4.6887268648345484E-2</v>
      </c>
      <c r="N355" s="5">
        <v>0.41626794258373206</v>
      </c>
      <c r="O355" s="5">
        <v>0.10919540229885058</v>
      </c>
      <c r="P355">
        <v>-16</v>
      </c>
      <c r="Q355" s="1">
        <v>-0.45714285714285713</v>
      </c>
      <c r="R355">
        <v>-2362420</v>
      </c>
      <c r="S355" s="1">
        <v>-0.46427195761372836</v>
      </c>
    </row>
    <row r="356" spans="1:19" x14ac:dyDescent="0.45">
      <c r="A356" t="s">
        <v>50</v>
      </c>
      <c r="B356" t="s">
        <v>51</v>
      </c>
      <c r="C356" t="s">
        <v>429</v>
      </c>
      <c r="D356" s="2">
        <v>0</v>
      </c>
      <c r="E356" s="2">
        <v>0</v>
      </c>
      <c r="F356" s="2">
        <v>0</v>
      </c>
      <c r="G356" s="3">
        <v>3.9983058026260059E-2</v>
      </c>
      <c r="H356" s="3">
        <v>0.4788135593220339</v>
      </c>
      <c r="I356" s="3">
        <v>0</v>
      </c>
      <c r="J356" s="4">
        <v>1</v>
      </c>
      <c r="K356" s="4">
        <v>1</v>
      </c>
      <c r="L356" s="4">
        <v>164470</v>
      </c>
      <c r="M356" s="5">
        <v>4.6887268648345484E-2</v>
      </c>
      <c r="N356" s="5">
        <v>0.41626794258373206</v>
      </c>
      <c r="O356" s="5">
        <v>5.7471264367816091E-3</v>
      </c>
      <c r="P356">
        <v>1</v>
      </c>
      <c r="Q356" s="1">
        <v>1</v>
      </c>
      <c r="R356">
        <v>164470</v>
      </c>
      <c r="S356" s="1">
        <v>1</v>
      </c>
    </row>
    <row r="357" spans="1:19" x14ac:dyDescent="0.45">
      <c r="A357" t="s">
        <v>50</v>
      </c>
      <c r="B357" t="s">
        <v>51</v>
      </c>
      <c r="C357" t="s">
        <v>430</v>
      </c>
      <c r="D357" s="2">
        <v>7</v>
      </c>
      <c r="E357" s="2">
        <v>8</v>
      </c>
      <c r="F357" s="2">
        <v>1363830</v>
      </c>
      <c r="G357" s="3">
        <v>3.9983058026260059E-2</v>
      </c>
      <c r="H357" s="3">
        <v>0.4788135593220339</v>
      </c>
      <c r="I357" s="3">
        <v>3.5398230088495575E-2</v>
      </c>
      <c r="J357" s="4">
        <v>6</v>
      </c>
      <c r="K357" s="4">
        <v>6</v>
      </c>
      <c r="L357" s="4">
        <v>1041970</v>
      </c>
      <c r="M357" s="5">
        <v>4.6887268648345484E-2</v>
      </c>
      <c r="N357" s="5">
        <v>0.41626794258373206</v>
      </c>
      <c r="O357" s="5">
        <v>3.4482758620689655E-2</v>
      </c>
      <c r="P357">
        <v>-2</v>
      </c>
      <c r="Q357" s="1">
        <v>-0.25</v>
      </c>
      <c r="R357">
        <v>-321860</v>
      </c>
      <c r="S357" s="1">
        <v>-0.23599715507064664</v>
      </c>
    </row>
    <row r="358" spans="1:19" x14ac:dyDescent="0.45">
      <c r="A358" t="s">
        <v>50</v>
      </c>
      <c r="B358" t="s">
        <v>51</v>
      </c>
      <c r="C358" t="s">
        <v>431</v>
      </c>
      <c r="D358" s="2">
        <v>2</v>
      </c>
      <c r="E358" s="2">
        <v>2</v>
      </c>
      <c r="F358" s="2">
        <v>357120</v>
      </c>
      <c r="G358" s="3">
        <v>3.9983058026260059E-2</v>
      </c>
      <c r="H358" s="3">
        <v>0.4788135593220339</v>
      </c>
      <c r="I358" s="3">
        <v>8.8495575221238937E-3</v>
      </c>
      <c r="J358" s="4">
        <v>1</v>
      </c>
      <c r="K358" s="4">
        <v>1</v>
      </c>
      <c r="L358" s="4">
        <v>168780</v>
      </c>
      <c r="M358" s="5">
        <v>4.6887268648345484E-2</v>
      </c>
      <c r="N358" s="5">
        <v>0.41626794258373206</v>
      </c>
      <c r="O358" s="5">
        <v>5.7471264367816091E-3</v>
      </c>
      <c r="P358">
        <v>-1</v>
      </c>
      <c r="Q358" s="1">
        <v>-0.5</v>
      </c>
      <c r="R358">
        <v>-188340</v>
      </c>
      <c r="S358" s="1">
        <v>-0.527385752688172</v>
      </c>
    </row>
    <row r="359" spans="1:19" x14ac:dyDescent="0.45">
      <c r="A359" t="s">
        <v>50</v>
      </c>
      <c r="B359" t="s">
        <v>51</v>
      </c>
      <c r="C359" t="s">
        <v>432</v>
      </c>
      <c r="D359" s="2">
        <v>2</v>
      </c>
      <c r="E359" s="2">
        <v>2</v>
      </c>
      <c r="F359" s="2">
        <v>348030</v>
      </c>
      <c r="G359" s="3">
        <v>3.9983058026260059E-2</v>
      </c>
      <c r="H359" s="3">
        <v>0.4788135593220339</v>
      </c>
      <c r="I359" s="3">
        <v>8.8495575221238937E-3</v>
      </c>
      <c r="J359" s="4">
        <v>0</v>
      </c>
      <c r="K359" s="4">
        <v>0</v>
      </c>
      <c r="L359" s="4">
        <v>0</v>
      </c>
      <c r="M359" s="5">
        <v>4.6887268648345484E-2</v>
      </c>
      <c r="N359" s="5">
        <v>0.41626794258373206</v>
      </c>
      <c r="O359" s="5">
        <v>0</v>
      </c>
      <c r="P359">
        <v>-2</v>
      </c>
      <c r="Q359" s="1">
        <v>-1</v>
      </c>
      <c r="R359">
        <v>-348030</v>
      </c>
      <c r="S359" s="1">
        <v>-1</v>
      </c>
    </row>
    <row r="360" spans="1:19" x14ac:dyDescent="0.45">
      <c r="A360" t="s">
        <v>50</v>
      </c>
      <c r="B360" t="s">
        <v>51</v>
      </c>
      <c r="C360" t="s">
        <v>433</v>
      </c>
      <c r="D360" s="2">
        <v>13</v>
      </c>
      <c r="E360" s="2">
        <v>16</v>
      </c>
      <c r="F360" s="2">
        <v>2691210</v>
      </c>
      <c r="G360" s="3">
        <v>3.9983058026260059E-2</v>
      </c>
      <c r="H360" s="3">
        <v>0.4788135593220339</v>
      </c>
      <c r="I360" s="3">
        <v>7.0796460176991149E-2</v>
      </c>
      <c r="J360" s="4">
        <v>14</v>
      </c>
      <c r="K360" s="4">
        <v>16</v>
      </c>
      <c r="L360" s="4">
        <v>2759790</v>
      </c>
      <c r="M360" s="5">
        <v>4.6887268648345484E-2</v>
      </c>
      <c r="N360" s="5">
        <v>0.41626794258373206</v>
      </c>
      <c r="O360" s="5">
        <v>9.1954022988505746E-2</v>
      </c>
      <c r="P360">
        <v>0</v>
      </c>
      <c r="Q360" s="1">
        <v>0</v>
      </c>
      <c r="R360">
        <v>68580</v>
      </c>
      <c r="S360" s="1">
        <v>2.5482961195893297E-2</v>
      </c>
    </row>
    <row r="361" spans="1:19" x14ac:dyDescent="0.45">
      <c r="A361" t="s">
        <v>50</v>
      </c>
      <c r="B361" t="s">
        <v>51</v>
      </c>
      <c r="C361" t="s">
        <v>434</v>
      </c>
      <c r="D361" s="2">
        <v>3</v>
      </c>
      <c r="E361" s="2">
        <v>4</v>
      </c>
      <c r="F361" s="2">
        <v>477090</v>
      </c>
      <c r="G361" s="3">
        <v>3.9983058026260059E-2</v>
      </c>
      <c r="H361" s="3">
        <v>0.4788135593220339</v>
      </c>
      <c r="I361" s="3">
        <v>1.7699115044247787E-2</v>
      </c>
      <c r="J361" s="4">
        <v>6</v>
      </c>
      <c r="K361" s="4">
        <v>6</v>
      </c>
      <c r="L361" s="4">
        <v>733530</v>
      </c>
      <c r="M361" s="5">
        <v>4.6887268648345484E-2</v>
      </c>
      <c r="N361" s="5">
        <v>0.41626794258373206</v>
      </c>
      <c r="O361" s="5">
        <v>3.4482758620689655E-2</v>
      </c>
      <c r="P361">
        <v>2</v>
      </c>
      <c r="Q361" s="1">
        <v>0.5</v>
      </c>
      <c r="R361">
        <v>256440</v>
      </c>
      <c r="S361" s="1">
        <v>0.5375086461673898</v>
      </c>
    </row>
    <row r="362" spans="1:19" x14ac:dyDescent="0.45">
      <c r="A362" t="s">
        <v>50</v>
      </c>
      <c r="B362" t="s">
        <v>51</v>
      </c>
      <c r="C362" t="s">
        <v>435</v>
      </c>
      <c r="D362" s="2">
        <v>0</v>
      </c>
      <c r="E362" s="2">
        <v>0</v>
      </c>
      <c r="F362" s="2">
        <v>0</v>
      </c>
      <c r="G362" s="3">
        <v>3.9983058026260059E-2</v>
      </c>
      <c r="H362" s="3">
        <v>0.4788135593220339</v>
      </c>
      <c r="I362" s="3">
        <v>0</v>
      </c>
      <c r="J362" s="4">
        <v>3</v>
      </c>
      <c r="K362" s="4">
        <v>3</v>
      </c>
      <c r="L362" s="4">
        <v>358040</v>
      </c>
      <c r="M362" s="5">
        <v>4.6887268648345484E-2</v>
      </c>
      <c r="N362" s="5">
        <v>0.41626794258373206</v>
      </c>
      <c r="O362" s="5">
        <v>1.7241379310344827E-2</v>
      </c>
      <c r="P362">
        <v>3</v>
      </c>
      <c r="Q362" s="1">
        <v>1</v>
      </c>
      <c r="R362">
        <v>358040</v>
      </c>
      <c r="S362" s="1">
        <v>1</v>
      </c>
    </row>
    <row r="363" spans="1:19" x14ac:dyDescent="0.45">
      <c r="A363" t="s">
        <v>50</v>
      </c>
      <c r="B363" t="s">
        <v>51</v>
      </c>
      <c r="C363" t="s">
        <v>436</v>
      </c>
      <c r="D363" s="2">
        <v>0</v>
      </c>
      <c r="E363" s="2">
        <v>0</v>
      </c>
      <c r="F363" s="2">
        <v>0</v>
      </c>
      <c r="G363" s="3">
        <v>3.9983058026260059E-2</v>
      </c>
      <c r="H363" s="3">
        <v>0.4788135593220339</v>
      </c>
      <c r="I363" s="3">
        <v>0</v>
      </c>
      <c r="J363" s="4">
        <v>2</v>
      </c>
      <c r="K363" s="4">
        <v>2</v>
      </c>
      <c r="L363" s="4">
        <v>258000</v>
      </c>
      <c r="M363" s="5">
        <v>4.6887268648345484E-2</v>
      </c>
      <c r="N363" s="5">
        <v>0.41626794258373206</v>
      </c>
      <c r="O363" s="5">
        <v>1.1494252873563218E-2</v>
      </c>
      <c r="P363">
        <v>2</v>
      </c>
      <c r="Q363" s="1">
        <v>1</v>
      </c>
      <c r="R363">
        <v>258000</v>
      </c>
      <c r="S363" s="1">
        <v>1</v>
      </c>
    </row>
    <row r="364" spans="1:19" x14ac:dyDescent="0.45">
      <c r="A364" t="s">
        <v>50</v>
      </c>
      <c r="B364" t="s">
        <v>51</v>
      </c>
      <c r="C364" t="s">
        <v>437</v>
      </c>
      <c r="D364" s="2">
        <v>0</v>
      </c>
      <c r="E364" s="2">
        <v>0</v>
      </c>
      <c r="F364" s="2">
        <v>0</v>
      </c>
      <c r="G364" s="3">
        <v>3.9983058026260059E-2</v>
      </c>
      <c r="H364" s="3">
        <v>0.4788135593220339</v>
      </c>
      <c r="I364" s="3">
        <v>0</v>
      </c>
      <c r="J364" s="4">
        <v>3</v>
      </c>
      <c r="K364" s="4">
        <v>3</v>
      </c>
      <c r="L364" s="4">
        <v>379250</v>
      </c>
      <c r="M364" s="5">
        <v>4.6887268648345484E-2</v>
      </c>
      <c r="N364" s="5">
        <v>0.41626794258373206</v>
      </c>
      <c r="O364" s="5">
        <v>1.7241379310344827E-2</v>
      </c>
      <c r="P364">
        <v>3</v>
      </c>
      <c r="Q364" s="1">
        <v>1</v>
      </c>
      <c r="R364">
        <v>379250</v>
      </c>
      <c r="S364" s="1">
        <v>1</v>
      </c>
    </row>
    <row r="365" spans="1:19" x14ac:dyDescent="0.45">
      <c r="A365" t="s">
        <v>50</v>
      </c>
      <c r="B365" t="s">
        <v>51</v>
      </c>
      <c r="C365" t="s">
        <v>438</v>
      </c>
      <c r="D365" s="2">
        <v>25</v>
      </c>
      <c r="E365" s="2">
        <v>29</v>
      </c>
      <c r="F365" s="2">
        <v>3512190</v>
      </c>
      <c r="G365" s="3">
        <v>3.9983058026260059E-2</v>
      </c>
      <c r="H365" s="3">
        <v>0.4788135593220339</v>
      </c>
      <c r="I365" s="3">
        <v>0.12831858407079647</v>
      </c>
      <c r="J365" s="4">
        <v>20</v>
      </c>
      <c r="K365" s="4">
        <v>24</v>
      </c>
      <c r="L365" s="4">
        <v>2878420</v>
      </c>
      <c r="M365" s="5">
        <v>4.6887268648345484E-2</v>
      </c>
      <c r="N365" s="5">
        <v>0.41626794258373206</v>
      </c>
      <c r="O365" s="5">
        <v>0.13793103448275862</v>
      </c>
      <c r="P365">
        <v>-5</v>
      </c>
      <c r="Q365" s="1">
        <v>-0.17241379310344829</v>
      </c>
      <c r="R365">
        <v>-633770</v>
      </c>
      <c r="S365" s="1">
        <v>-0.18044866593208225</v>
      </c>
    </row>
    <row r="366" spans="1:19" x14ac:dyDescent="0.45">
      <c r="A366" t="s">
        <v>50</v>
      </c>
      <c r="B366" t="s">
        <v>52</v>
      </c>
      <c r="C366" t="s">
        <v>439</v>
      </c>
      <c r="D366" s="2">
        <v>0</v>
      </c>
      <c r="E366" s="2">
        <v>0</v>
      </c>
      <c r="F366" s="2">
        <v>0</v>
      </c>
      <c r="G366" s="3">
        <v>3.9983058026260059E-2</v>
      </c>
      <c r="H366" s="3">
        <v>5.2966101694915252E-2</v>
      </c>
      <c r="I366" s="3">
        <v>0</v>
      </c>
      <c r="J366" s="4">
        <v>2</v>
      </c>
      <c r="K366" s="4">
        <v>2</v>
      </c>
      <c r="L366" s="4">
        <v>650200</v>
      </c>
      <c r="M366" s="5">
        <v>4.6887268648345484E-2</v>
      </c>
      <c r="N366" s="5">
        <v>7.6555023923444973E-2</v>
      </c>
      <c r="O366" s="5">
        <v>6.25E-2</v>
      </c>
      <c r="P366">
        <v>2</v>
      </c>
      <c r="Q366" s="1">
        <v>1</v>
      </c>
      <c r="R366">
        <v>650200</v>
      </c>
      <c r="S366" s="1">
        <v>1</v>
      </c>
    </row>
    <row r="367" spans="1:19" x14ac:dyDescent="0.45">
      <c r="A367" t="s">
        <v>50</v>
      </c>
      <c r="B367" t="s">
        <v>52</v>
      </c>
      <c r="C367" t="s">
        <v>440</v>
      </c>
      <c r="D367" s="2">
        <v>2</v>
      </c>
      <c r="E367" s="2">
        <v>2</v>
      </c>
      <c r="F367" s="2">
        <v>626030</v>
      </c>
      <c r="G367" s="3">
        <v>3.9983058026260059E-2</v>
      </c>
      <c r="H367" s="3">
        <v>5.2966101694915252E-2</v>
      </c>
      <c r="I367" s="3">
        <v>0.08</v>
      </c>
      <c r="J367" s="4">
        <v>2</v>
      </c>
      <c r="K367" s="4">
        <v>3</v>
      </c>
      <c r="L367" s="4">
        <v>955400</v>
      </c>
      <c r="M367" s="5">
        <v>4.6887268648345484E-2</v>
      </c>
      <c r="N367" s="5">
        <v>7.6555023923444973E-2</v>
      </c>
      <c r="O367" s="5">
        <v>9.375E-2</v>
      </c>
      <c r="P367">
        <v>1</v>
      </c>
      <c r="Q367" s="1">
        <v>0.5</v>
      </c>
      <c r="R367">
        <v>329370</v>
      </c>
      <c r="S367" s="1">
        <v>0.52612494608884564</v>
      </c>
    </row>
    <row r="368" spans="1:19" x14ac:dyDescent="0.45">
      <c r="A368" t="s">
        <v>50</v>
      </c>
      <c r="B368" t="s">
        <v>52</v>
      </c>
      <c r="C368" t="s">
        <v>441</v>
      </c>
      <c r="D368" s="2">
        <v>2</v>
      </c>
      <c r="E368" s="2">
        <v>2</v>
      </c>
      <c r="F368" s="2">
        <v>544590</v>
      </c>
      <c r="G368" s="3">
        <v>3.9983058026260059E-2</v>
      </c>
      <c r="H368" s="3">
        <v>5.2966101694915252E-2</v>
      </c>
      <c r="I368" s="3">
        <v>0.08</v>
      </c>
      <c r="J368" s="4">
        <v>2</v>
      </c>
      <c r="K368" s="4">
        <v>2</v>
      </c>
      <c r="L368" s="4">
        <v>570000</v>
      </c>
      <c r="M368" s="5">
        <v>4.6887268648345484E-2</v>
      </c>
      <c r="N368" s="5">
        <v>7.6555023923444973E-2</v>
      </c>
      <c r="O368" s="5">
        <v>6.25E-2</v>
      </c>
      <c r="P368">
        <v>0</v>
      </c>
      <c r="Q368" s="1">
        <v>0</v>
      </c>
      <c r="R368">
        <v>25410</v>
      </c>
      <c r="S368" s="1">
        <v>4.6658954442791827E-2</v>
      </c>
    </row>
    <row r="369" spans="1:19" x14ac:dyDescent="0.45">
      <c r="A369" t="s">
        <v>50</v>
      </c>
      <c r="B369" t="s">
        <v>52</v>
      </c>
      <c r="C369" t="s">
        <v>442</v>
      </c>
      <c r="D369" s="2">
        <v>2</v>
      </c>
      <c r="E369" s="2">
        <v>3</v>
      </c>
      <c r="F369" s="2">
        <v>807200</v>
      </c>
      <c r="G369" s="3">
        <v>3.9983058026260059E-2</v>
      </c>
      <c r="H369" s="3">
        <v>5.2966101694915252E-2</v>
      </c>
      <c r="I369" s="3">
        <v>0.12</v>
      </c>
      <c r="J369" s="4">
        <v>1</v>
      </c>
      <c r="K369" s="4">
        <v>1</v>
      </c>
      <c r="L369" s="4">
        <v>276710</v>
      </c>
      <c r="M369" s="5">
        <v>4.6887268648345484E-2</v>
      </c>
      <c r="N369" s="5">
        <v>7.6555023923444973E-2</v>
      </c>
      <c r="O369" s="5">
        <v>3.125E-2</v>
      </c>
      <c r="P369">
        <v>-2</v>
      </c>
      <c r="Q369" s="1">
        <v>-0.66666666666666663</v>
      </c>
      <c r="R369">
        <v>-530490</v>
      </c>
      <c r="S369" s="1">
        <v>-0.65719772051536174</v>
      </c>
    </row>
    <row r="370" spans="1:19" x14ac:dyDescent="0.45">
      <c r="A370" t="s">
        <v>50</v>
      </c>
      <c r="B370" t="s">
        <v>52</v>
      </c>
      <c r="C370" t="s">
        <v>443</v>
      </c>
      <c r="D370" s="2">
        <v>0</v>
      </c>
      <c r="E370" s="2">
        <v>0</v>
      </c>
      <c r="F370" s="2">
        <v>0</v>
      </c>
      <c r="G370" s="3">
        <v>3.9983058026260059E-2</v>
      </c>
      <c r="H370" s="3">
        <v>5.2966101694915252E-2</v>
      </c>
      <c r="I370" s="3">
        <v>0</v>
      </c>
      <c r="J370" s="4">
        <v>1</v>
      </c>
      <c r="K370" s="4">
        <v>1</v>
      </c>
      <c r="L370" s="4">
        <v>385000</v>
      </c>
      <c r="M370" s="5">
        <v>4.6887268648345484E-2</v>
      </c>
      <c r="N370" s="5">
        <v>7.6555023923444973E-2</v>
      </c>
      <c r="O370" s="5">
        <v>3.125E-2</v>
      </c>
      <c r="P370">
        <v>1</v>
      </c>
      <c r="Q370" s="1">
        <v>1</v>
      </c>
      <c r="R370">
        <v>385000</v>
      </c>
      <c r="S370" s="1">
        <v>1</v>
      </c>
    </row>
    <row r="371" spans="1:19" x14ac:dyDescent="0.45">
      <c r="A371" t="s">
        <v>50</v>
      </c>
      <c r="B371" t="s">
        <v>52</v>
      </c>
      <c r="C371" t="s">
        <v>444</v>
      </c>
      <c r="D371" s="2">
        <v>2</v>
      </c>
      <c r="E371" s="2">
        <v>2</v>
      </c>
      <c r="F371" s="2">
        <v>692250</v>
      </c>
      <c r="G371" s="3">
        <v>3.9983058026260059E-2</v>
      </c>
      <c r="H371" s="3">
        <v>5.2966101694915252E-2</v>
      </c>
      <c r="I371" s="3">
        <v>0.08</v>
      </c>
      <c r="J371" s="4">
        <v>0</v>
      </c>
      <c r="K371" s="4">
        <v>0</v>
      </c>
      <c r="L371" s="4">
        <v>0</v>
      </c>
      <c r="M371" s="5">
        <v>4.6887268648345484E-2</v>
      </c>
      <c r="N371" s="5">
        <v>7.6555023923444973E-2</v>
      </c>
      <c r="O371" s="5">
        <v>0</v>
      </c>
      <c r="P371">
        <v>-2</v>
      </c>
      <c r="Q371" s="1">
        <v>-1</v>
      </c>
      <c r="R371">
        <v>-692250</v>
      </c>
      <c r="S371" s="1">
        <v>-1</v>
      </c>
    </row>
    <row r="372" spans="1:19" x14ac:dyDescent="0.45">
      <c r="A372" t="s">
        <v>50</v>
      </c>
      <c r="B372" t="s">
        <v>52</v>
      </c>
      <c r="C372" t="s">
        <v>445</v>
      </c>
      <c r="D372" s="2">
        <v>2</v>
      </c>
      <c r="E372" s="2">
        <v>2</v>
      </c>
      <c r="F372" s="2">
        <v>724490</v>
      </c>
      <c r="G372" s="3">
        <v>3.9983058026260059E-2</v>
      </c>
      <c r="H372" s="3">
        <v>5.2966101694915252E-2</v>
      </c>
      <c r="I372" s="3">
        <v>0.08</v>
      </c>
      <c r="J372" s="4">
        <v>3</v>
      </c>
      <c r="K372" s="4">
        <v>3</v>
      </c>
      <c r="L372" s="4">
        <v>1061170</v>
      </c>
      <c r="M372" s="5">
        <v>4.6887268648345484E-2</v>
      </c>
      <c r="N372" s="5">
        <v>7.6555023923444973E-2</v>
      </c>
      <c r="O372" s="5">
        <v>9.375E-2</v>
      </c>
      <c r="P372">
        <v>1</v>
      </c>
      <c r="Q372" s="1">
        <v>0.5</v>
      </c>
      <c r="R372">
        <v>336680</v>
      </c>
      <c r="S372" s="1">
        <v>0.4647131085315187</v>
      </c>
    </row>
    <row r="373" spans="1:19" x14ac:dyDescent="0.45">
      <c r="A373" t="s">
        <v>50</v>
      </c>
      <c r="B373" t="s">
        <v>52</v>
      </c>
      <c r="C373" t="s">
        <v>446</v>
      </c>
      <c r="D373" s="2">
        <v>3</v>
      </c>
      <c r="E373" s="2">
        <v>3</v>
      </c>
      <c r="F373" s="2">
        <v>464730</v>
      </c>
      <c r="G373" s="3">
        <v>3.9983058026260059E-2</v>
      </c>
      <c r="H373" s="3">
        <v>5.2966101694915252E-2</v>
      </c>
      <c r="I373" s="3">
        <v>0.12</v>
      </c>
      <c r="J373" s="4">
        <v>2</v>
      </c>
      <c r="K373" s="4">
        <v>2</v>
      </c>
      <c r="L373" s="4">
        <v>305650</v>
      </c>
      <c r="M373" s="5">
        <v>4.6887268648345484E-2</v>
      </c>
      <c r="N373" s="5">
        <v>7.6555023923444973E-2</v>
      </c>
      <c r="O373" s="5">
        <v>6.25E-2</v>
      </c>
      <c r="P373">
        <v>-1</v>
      </c>
      <c r="Q373" s="1">
        <v>-0.33333333333333331</v>
      </c>
      <c r="R373">
        <v>-159080</v>
      </c>
      <c r="S373" s="1">
        <v>-0.3423062853699998</v>
      </c>
    </row>
    <row r="374" spans="1:19" x14ac:dyDescent="0.45">
      <c r="A374" t="s">
        <v>50</v>
      </c>
      <c r="B374" t="s">
        <v>52</v>
      </c>
      <c r="C374" t="s">
        <v>447</v>
      </c>
      <c r="D374" s="2">
        <v>2</v>
      </c>
      <c r="E374" s="2">
        <v>2</v>
      </c>
      <c r="F374" s="2">
        <v>305660</v>
      </c>
      <c r="G374" s="3">
        <v>3.9983058026260059E-2</v>
      </c>
      <c r="H374" s="3">
        <v>5.2966101694915252E-2</v>
      </c>
      <c r="I374" s="3">
        <v>0.08</v>
      </c>
      <c r="J374" s="4">
        <v>0</v>
      </c>
      <c r="K374" s="4">
        <v>0</v>
      </c>
      <c r="L374" s="4">
        <v>0</v>
      </c>
      <c r="M374" s="5">
        <v>4.6887268648345484E-2</v>
      </c>
      <c r="N374" s="5">
        <v>7.6555023923444973E-2</v>
      </c>
      <c r="O374" s="5">
        <v>0</v>
      </c>
      <c r="P374">
        <v>-2</v>
      </c>
      <c r="Q374" s="1">
        <v>-1</v>
      </c>
      <c r="R374">
        <v>-305660</v>
      </c>
      <c r="S374" s="1">
        <v>-1</v>
      </c>
    </row>
    <row r="375" spans="1:19" x14ac:dyDescent="0.45">
      <c r="A375" t="s">
        <v>50</v>
      </c>
      <c r="B375" t="s">
        <v>52</v>
      </c>
      <c r="C375" t="s">
        <v>448</v>
      </c>
      <c r="D375" s="2">
        <v>1</v>
      </c>
      <c r="E375" s="2">
        <v>1</v>
      </c>
      <c r="F375" s="2">
        <v>159080</v>
      </c>
      <c r="G375" s="3">
        <v>3.9983058026260059E-2</v>
      </c>
      <c r="H375" s="3">
        <v>5.2966101694915252E-2</v>
      </c>
      <c r="I375" s="3">
        <v>0.04</v>
      </c>
      <c r="J375" s="4">
        <v>1</v>
      </c>
      <c r="K375" s="4">
        <v>1</v>
      </c>
      <c r="L375" s="4">
        <v>152770</v>
      </c>
      <c r="M375" s="5">
        <v>4.6887268648345484E-2</v>
      </c>
      <c r="N375" s="5">
        <v>7.6555023923444973E-2</v>
      </c>
      <c r="O375" s="5">
        <v>3.125E-2</v>
      </c>
      <c r="P375">
        <v>0</v>
      </c>
      <c r="Q375" s="1">
        <v>0</v>
      </c>
      <c r="R375">
        <v>-6310</v>
      </c>
      <c r="S375" s="1">
        <v>-3.9665577068141812E-2</v>
      </c>
    </row>
    <row r="376" spans="1:19" x14ac:dyDescent="0.45">
      <c r="A376" t="s">
        <v>50</v>
      </c>
      <c r="B376" t="s">
        <v>52</v>
      </c>
      <c r="C376" t="s">
        <v>449</v>
      </c>
      <c r="D376" s="2">
        <v>1</v>
      </c>
      <c r="E376" s="2">
        <v>1</v>
      </c>
      <c r="F376" s="2">
        <v>154300</v>
      </c>
      <c r="G376" s="3">
        <v>3.9983058026260059E-2</v>
      </c>
      <c r="H376" s="3">
        <v>5.2966101694915252E-2</v>
      </c>
      <c r="I376" s="3">
        <v>0.04</v>
      </c>
      <c r="J376" s="4">
        <v>9</v>
      </c>
      <c r="K376" s="4">
        <v>10</v>
      </c>
      <c r="L376" s="4">
        <v>1529580</v>
      </c>
      <c r="M376" s="5">
        <v>4.6887268648345484E-2</v>
      </c>
      <c r="N376" s="5">
        <v>7.6555023923444973E-2</v>
      </c>
      <c r="O376" s="5">
        <v>0.3125</v>
      </c>
      <c r="P376">
        <v>9</v>
      </c>
      <c r="Q376" s="1">
        <v>9</v>
      </c>
      <c r="R376">
        <v>1375280</v>
      </c>
      <c r="S376" s="1">
        <v>8.9130265716137398</v>
      </c>
    </row>
    <row r="377" spans="1:19" x14ac:dyDescent="0.45">
      <c r="A377" t="s">
        <v>50</v>
      </c>
      <c r="B377" t="s">
        <v>52</v>
      </c>
      <c r="C377" t="s">
        <v>450</v>
      </c>
      <c r="D377" s="2">
        <v>4</v>
      </c>
      <c r="E377" s="2">
        <v>6</v>
      </c>
      <c r="F377" s="2">
        <v>1376040</v>
      </c>
      <c r="G377" s="3">
        <v>3.9983058026260059E-2</v>
      </c>
      <c r="H377" s="3">
        <v>5.2966101694915252E-2</v>
      </c>
      <c r="I377" s="3">
        <v>0.24</v>
      </c>
      <c r="J377" s="4">
        <v>0</v>
      </c>
      <c r="K377" s="4">
        <v>0</v>
      </c>
      <c r="L377" s="4">
        <v>0</v>
      </c>
      <c r="M377" s="5">
        <v>4.6887268648345484E-2</v>
      </c>
      <c r="N377" s="5">
        <v>7.6555023923444973E-2</v>
      </c>
      <c r="O377" s="5">
        <v>0</v>
      </c>
      <c r="P377">
        <v>-6</v>
      </c>
      <c r="Q377" s="1">
        <v>-1</v>
      </c>
      <c r="R377">
        <v>-1376040</v>
      </c>
      <c r="S377" s="1">
        <v>-1</v>
      </c>
    </row>
    <row r="378" spans="1:19" x14ac:dyDescent="0.45">
      <c r="A378" t="s">
        <v>50</v>
      </c>
      <c r="B378" t="s">
        <v>52</v>
      </c>
      <c r="C378" t="s">
        <v>451</v>
      </c>
      <c r="D378" s="2">
        <v>0</v>
      </c>
      <c r="E378" s="2">
        <v>0</v>
      </c>
      <c r="F378" s="2">
        <v>0</v>
      </c>
      <c r="G378" s="3">
        <v>3.9983058026260059E-2</v>
      </c>
      <c r="H378" s="3">
        <v>5.2966101694915252E-2</v>
      </c>
      <c r="I378" s="3">
        <v>0</v>
      </c>
      <c r="J378" s="4">
        <v>1</v>
      </c>
      <c r="K378" s="4">
        <v>1</v>
      </c>
      <c r="L378" s="4">
        <v>230520</v>
      </c>
      <c r="M378" s="5">
        <v>4.6887268648345484E-2</v>
      </c>
      <c r="N378" s="5">
        <v>7.6555023923444973E-2</v>
      </c>
      <c r="O378" s="5">
        <v>3.125E-2</v>
      </c>
      <c r="P378">
        <v>1</v>
      </c>
      <c r="Q378" s="1">
        <v>1</v>
      </c>
      <c r="R378">
        <v>230520</v>
      </c>
      <c r="S378" s="1">
        <v>1</v>
      </c>
    </row>
    <row r="379" spans="1:19" x14ac:dyDescent="0.45">
      <c r="A379" t="s">
        <v>50</v>
      </c>
      <c r="B379" t="s">
        <v>52</v>
      </c>
      <c r="C379" t="s">
        <v>452</v>
      </c>
      <c r="D379" s="2">
        <v>1</v>
      </c>
      <c r="E379" s="2">
        <v>1</v>
      </c>
      <c r="F379" s="2">
        <v>230520</v>
      </c>
      <c r="G379" s="3">
        <v>3.9983058026260059E-2</v>
      </c>
      <c r="H379" s="3">
        <v>5.2966101694915252E-2</v>
      </c>
      <c r="I379" s="3">
        <v>0.04</v>
      </c>
      <c r="J379" s="4">
        <v>0</v>
      </c>
      <c r="K379" s="4">
        <v>0</v>
      </c>
      <c r="L379" s="4">
        <v>0</v>
      </c>
      <c r="M379" s="5">
        <v>4.6887268648345484E-2</v>
      </c>
      <c r="N379" s="5">
        <v>7.6555023923444973E-2</v>
      </c>
      <c r="O379" s="5">
        <v>0</v>
      </c>
      <c r="P379">
        <v>-1</v>
      </c>
      <c r="Q379" s="1">
        <v>-1</v>
      </c>
      <c r="R379">
        <v>-230520</v>
      </c>
      <c r="S379" s="1">
        <v>-1</v>
      </c>
    </row>
    <row r="380" spans="1:19" x14ac:dyDescent="0.45">
      <c r="A380" t="s">
        <v>50</v>
      </c>
      <c r="B380" t="s">
        <v>52</v>
      </c>
      <c r="C380" t="s">
        <v>453</v>
      </c>
      <c r="D380" s="2">
        <v>0</v>
      </c>
      <c r="E380" s="2">
        <v>0</v>
      </c>
      <c r="F380" s="2">
        <v>0</v>
      </c>
      <c r="G380" s="3">
        <v>3.9983058026260059E-2</v>
      </c>
      <c r="H380" s="3">
        <v>5.2966101694915252E-2</v>
      </c>
      <c r="I380" s="3">
        <v>0</v>
      </c>
      <c r="J380" s="4">
        <v>5</v>
      </c>
      <c r="K380" s="4">
        <v>6</v>
      </c>
      <c r="L380" s="4">
        <v>1374860</v>
      </c>
      <c r="M380" s="5">
        <v>4.6887268648345484E-2</v>
      </c>
      <c r="N380" s="5">
        <v>7.6555023923444973E-2</v>
      </c>
      <c r="O380" s="5">
        <v>0.1875</v>
      </c>
      <c r="P380">
        <v>6</v>
      </c>
      <c r="Q380" s="1">
        <v>1</v>
      </c>
      <c r="R380">
        <v>1374860</v>
      </c>
      <c r="S380" s="1">
        <v>1</v>
      </c>
    </row>
    <row r="381" spans="1:19" x14ac:dyDescent="0.45">
      <c r="A381" t="s">
        <v>50</v>
      </c>
      <c r="B381" t="s">
        <v>53</v>
      </c>
      <c r="C381" t="s">
        <v>454</v>
      </c>
      <c r="D381" s="2">
        <v>13</v>
      </c>
      <c r="E381" s="2">
        <v>16</v>
      </c>
      <c r="F381" s="2">
        <v>3988840</v>
      </c>
      <c r="G381" s="3">
        <v>3.9983058026260059E-2</v>
      </c>
      <c r="H381" s="3">
        <v>0.46822033898305082</v>
      </c>
      <c r="I381" s="3">
        <v>7.2398190045248875E-2</v>
      </c>
      <c r="J381" s="4">
        <v>9</v>
      </c>
      <c r="K381" s="4">
        <v>10</v>
      </c>
      <c r="L381" s="4">
        <v>2532670</v>
      </c>
      <c r="M381" s="5">
        <v>4.6887268648345484E-2</v>
      </c>
      <c r="N381" s="5">
        <v>0.50717703349282295</v>
      </c>
      <c r="O381" s="5">
        <v>4.716981132075472E-2</v>
      </c>
      <c r="P381">
        <v>-6</v>
      </c>
      <c r="Q381" s="1">
        <v>-0.375</v>
      </c>
      <c r="R381">
        <v>-1456170</v>
      </c>
      <c r="S381" s="1">
        <v>-0.36506102024648768</v>
      </c>
    </row>
    <row r="382" spans="1:19" x14ac:dyDescent="0.45">
      <c r="A382" t="s">
        <v>50</v>
      </c>
      <c r="B382" t="s">
        <v>53</v>
      </c>
      <c r="C382" t="s">
        <v>455</v>
      </c>
      <c r="D382" s="2">
        <v>2</v>
      </c>
      <c r="E382" s="2">
        <v>3</v>
      </c>
      <c r="F382" s="2">
        <v>747760</v>
      </c>
      <c r="G382" s="3">
        <v>3.9983058026260059E-2</v>
      </c>
      <c r="H382" s="3">
        <v>0.46822033898305082</v>
      </c>
      <c r="I382" s="3">
        <v>1.3574660633484163E-2</v>
      </c>
      <c r="J382" s="4">
        <v>1</v>
      </c>
      <c r="K382" s="4">
        <v>1</v>
      </c>
      <c r="L382" s="4">
        <v>260930</v>
      </c>
      <c r="M382" s="5">
        <v>4.6887268648345484E-2</v>
      </c>
      <c r="N382" s="5">
        <v>0.50717703349282295</v>
      </c>
      <c r="O382" s="5">
        <v>4.7169811320754715E-3</v>
      </c>
      <c r="P382">
        <v>-2</v>
      </c>
      <c r="Q382" s="1">
        <v>-0.66666666666666663</v>
      </c>
      <c r="R382">
        <v>-486830</v>
      </c>
      <c r="S382" s="1">
        <v>-0.65105113940301707</v>
      </c>
    </row>
    <row r="383" spans="1:19" x14ac:dyDescent="0.45">
      <c r="A383" t="s">
        <v>50</v>
      </c>
      <c r="B383" t="s">
        <v>53</v>
      </c>
      <c r="C383" t="s">
        <v>456</v>
      </c>
      <c r="D383" s="2">
        <v>20</v>
      </c>
      <c r="E383" s="2">
        <v>22</v>
      </c>
      <c r="F383" s="2">
        <v>5433500</v>
      </c>
      <c r="G383" s="3">
        <v>3.9983058026260059E-2</v>
      </c>
      <c r="H383" s="3">
        <v>0.46822033898305082</v>
      </c>
      <c r="I383" s="3">
        <v>9.9547511312217188E-2</v>
      </c>
      <c r="J383" s="4">
        <v>13</v>
      </c>
      <c r="K383" s="4">
        <v>14</v>
      </c>
      <c r="L383" s="4">
        <v>3513370</v>
      </c>
      <c r="M383" s="5">
        <v>4.6887268648345484E-2</v>
      </c>
      <c r="N383" s="5">
        <v>0.50717703349282295</v>
      </c>
      <c r="O383" s="5">
        <v>6.6037735849056603E-2</v>
      </c>
      <c r="P383">
        <v>-8</v>
      </c>
      <c r="Q383" s="1">
        <v>-0.36363636363636365</v>
      </c>
      <c r="R383">
        <v>-1920130</v>
      </c>
      <c r="S383" s="1">
        <v>-0.35338731940738016</v>
      </c>
    </row>
    <row r="384" spans="1:19" x14ac:dyDescent="0.45">
      <c r="A384" t="s">
        <v>50</v>
      </c>
      <c r="B384" t="s">
        <v>53</v>
      </c>
      <c r="C384" t="s">
        <v>457</v>
      </c>
      <c r="D384" s="2">
        <v>4</v>
      </c>
      <c r="E384" s="2">
        <v>4</v>
      </c>
      <c r="F384" s="2">
        <v>1221810</v>
      </c>
      <c r="G384" s="3">
        <v>3.9983058026260059E-2</v>
      </c>
      <c r="H384" s="3">
        <v>0.46822033898305082</v>
      </c>
      <c r="I384" s="3">
        <v>1.8099547511312219E-2</v>
      </c>
      <c r="J384" s="4">
        <v>10</v>
      </c>
      <c r="K384" s="4">
        <v>11</v>
      </c>
      <c r="L384" s="4">
        <v>3577230</v>
      </c>
      <c r="M384" s="5">
        <v>4.6887268648345484E-2</v>
      </c>
      <c r="N384" s="5">
        <v>0.50717703349282295</v>
      </c>
      <c r="O384" s="5">
        <v>5.1886792452830191E-2</v>
      </c>
      <c r="P384">
        <v>7</v>
      </c>
      <c r="Q384" s="1">
        <v>1.75</v>
      </c>
      <c r="R384">
        <v>2355420</v>
      </c>
      <c r="S384" s="1">
        <v>1.9278120165983255</v>
      </c>
    </row>
    <row r="385" spans="1:19" x14ac:dyDescent="0.45">
      <c r="A385" t="s">
        <v>50</v>
      </c>
      <c r="B385" t="s">
        <v>53</v>
      </c>
      <c r="C385" t="s">
        <v>458</v>
      </c>
      <c r="D385" s="2">
        <v>1</v>
      </c>
      <c r="E385" s="2">
        <v>1</v>
      </c>
      <c r="F385" s="2">
        <v>328370</v>
      </c>
      <c r="G385" s="3">
        <v>3.9983058026260059E-2</v>
      </c>
      <c r="H385" s="3">
        <v>0.46822033898305082</v>
      </c>
      <c r="I385" s="3">
        <v>4.5248868778280547E-3</v>
      </c>
      <c r="J385" s="4">
        <v>1</v>
      </c>
      <c r="K385" s="4">
        <v>1</v>
      </c>
      <c r="L385" s="4">
        <v>349000</v>
      </c>
      <c r="M385" s="5">
        <v>4.6887268648345484E-2</v>
      </c>
      <c r="N385" s="5">
        <v>0.50717703349282295</v>
      </c>
      <c r="O385" s="5">
        <v>4.7169811320754715E-3</v>
      </c>
      <c r="P385">
        <v>0</v>
      </c>
      <c r="Q385" s="1">
        <v>0</v>
      </c>
      <c r="R385">
        <v>20630</v>
      </c>
      <c r="S385" s="1">
        <v>6.2825471267168129E-2</v>
      </c>
    </row>
    <row r="386" spans="1:19" x14ac:dyDescent="0.45">
      <c r="A386" t="s">
        <v>50</v>
      </c>
      <c r="B386" t="s">
        <v>53</v>
      </c>
      <c r="C386" t="s">
        <v>459</v>
      </c>
      <c r="D386" s="2">
        <v>2</v>
      </c>
      <c r="E386" s="2">
        <v>2</v>
      </c>
      <c r="F386" s="2">
        <v>616450</v>
      </c>
      <c r="G386" s="3">
        <v>3.9983058026260059E-2</v>
      </c>
      <c r="H386" s="3">
        <v>0.46822033898305082</v>
      </c>
      <c r="I386" s="3">
        <v>9.0497737556561094E-3</v>
      </c>
      <c r="J386" s="4">
        <v>2</v>
      </c>
      <c r="K386" s="4">
        <v>2</v>
      </c>
      <c r="L386" s="4">
        <v>666970</v>
      </c>
      <c r="M386" s="5">
        <v>4.6887268648345484E-2</v>
      </c>
      <c r="N386" s="5">
        <v>0.50717703349282295</v>
      </c>
      <c r="O386" s="5">
        <v>9.433962264150943E-3</v>
      </c>
      <c r="P386">
        <v>0</v>
      </c>
      <c r="Q386" s="1">
        <v>0</v>
      </c>
      <c r="R386">
        <v>50520</v>
      </c>
      <c r="S386" s="1">
        <v>8.1953118663314131E-2</v>
      </c>
    </row>
    <row r="387" spans="1:19" x14ac:dyDescent="0.45">
      <c r="A387" t="s">
        <v>50</v>
      </c>
      <c r="B387" t="s">
        <v>53</v>
      </c>
      <c r="C387" t="s">
        <v>460</v>
      </c>
      <c r="D387" s="2">
        <v>13</v>
      </c>
      <c r="E387" s="2">
        <v>13</v>
      </c>
      <c r="F387" s="2">
        <v>4221900</v>
      </c>
      <c r="G387" s="3">
        <v>3.9983058026260059E-2</v>
      </c>
      <c r="H387" s="3">
        <v>0.46822033898305082</v>
      </c>
      <c r="I387" s="3">
        <v>5.8823529411764705E-2</v>
      </c>
      <c r="J387" s="4">
        <v>12</v>
      </c>
      <c r="K387" s="4">
        <v>16</v>
      </c>
      <c r="L387" s="4">
        <v>5216380</v>
      </c>
      <c r="M387" s="5">
        <v>4.6887268648345484E-2</v>
      </c>
      <c r="N387" s="5">
        <v>0.50717703349282295</v>
      </c>
      <c r="O387" s="5">
        <v>7.5471698113207544E-2</v>
      </c>
      <c r="P387">
        <v>3</v>
      </c>
      <c r="Q387" s="1">
        <v>0.23076923076923078</v>
      </c>
      <c r="R387">
        <v>994480</v>
      </c>
      <c r="S387" s="1">
        <v>0.23555271323337834</v>
      </c>
    </row>
    <row r="388" spans="1:19" x14ac:dyDescent="0.45">
      <c r="A388" t="s">
        <v>50</v>
      </c>
      <c r="B388" t="s">
        <v>53</v>
      </c>
      <c r="C388" t="s">
        <v>461</v>
      </c>
      <c r="D388" s="2">
        <v>1</v>
      </c>
      <c r="E388" s="2">
        <v>1</v>
      </c>
      <c r="F388" s="2">
        <v>177830</v>
      </c>
      <c r="G388" s="3">
        <v>3.9983058026260059E-2</v>
      </c>
      <c r="H388" s="3">
        <v>0.46822033898305082</v>
      </c>
      <c r="I388" s="3">
        <v>4.5248868778280547E-3</v>
      </c>
      <c r="J388" s="4">
        <v>1</v>
      </c>
      <c r="K388" s="4">
        <v>1</v>
      </c>
      <c r="L388" s="4">
        <v>177840</v>
      </c>
      <c r="M388" s="5">
        <v>4.6887268648345484E-2</v>
      </c>
      <c r="N388" s="5">
        <v>0.50717703349282295</v>
      </c>
      <c r="O388" s="5">
        <v>4.7169811320754715E-3</v>
      </c>
      <c r="P388">
        <v>0</v>
      </c>
      <c r="Q388" s="1">
        <v>0</v>
      </c>
      <c r="R388">
        <v>10</v>
      </c>
      <c r="S388" s="1">
        <v>5.623348141483439E-5</v>
      </c>
    </row>
    <row r="389" spans="1:19" x14ac:dyDescent="0.45">
      <c r="A389" t="s">
        <v>50</v>
      </c>
      <c r="B389" t="s">
        <v>53</v>
      </c>
      <c r="C389" t="s">
        <v>462</v>
      </c>
      <c r="D389" s="2">
        <v>8</v>
      </c>
      <c r="E389" s="2">
        <v>10</v>
      </c>
      <c r="F389" s="2">
        <v>1779460</v>
      </c>
      <c r="G389" s="3">
        <v>3.9983058026260059E-2</v>
      </c>
      <c r="H389" s="3">
        <v>0.46822033898305082</v>
      </c>
      <c r="I389" s="3">
        <v>4.5248868778280542E-2</v>
      </c>
      <c r="J389" s="4">
        <v>7</v>
      </c>
      <c r="K389" s="4">
        <v>7</v>
      </c>
      <c r="L389" s="4">
        <v>1248650</v>
      </c>
      <c r="M389" s="5">
        <v>4.6887268648345484E-2</v>
      </c>
      <c r="N389" s="5">
        <v>0.50717703349282295</v>
      </c>
      <c r="O389" s="5">
        <v>3.3018867924528301E-2</v>
      </c>
      <c r="P389">
        <v>-3</v>
      </c>
      <c r="Q389" s="1">
        <v>-0.3</v>
      </c>
      <c r="R389">
        <v>-530810</v>
      </c>
      <c r="S389" s="1">
        <v>-0.29829836017668282</v>
      </c>
    </row>
    <row r="390" spans="1:19" x14ac:dyDescent="0.45">
      <c r="A390" t="s">
        <v>50</v>
      </c>
      <c r="B390" t="s">
        <v>53</v>
      </c>
      <c r="C390" t="s">
        <v>463</v>
      </c>
      <c r="D390" s="2">
        <v>2</v>
      </c>
      <c r="E390" s="2">
        <v>2</v>
      </c>
      <c r="F390" s="2">
        <v>346770</v>
      </c>
      <c r="G390" s="3">
        <v>3.9983058026260059E-2</v>
      </c>
      <c r="H390" s="3">
        <v>0.46822033898305082</v>
      </c>
      <c r="I390" s="3">
        <v>9.0497737556561094E-3</v>
      </c>
      <c r="J390" s="4">
        <v>0</v>
      </c>
      <c r="K390" s="4">
        <v>-5</v>
      </c>
      <c r="L390" s="4">
        <v>-878000</v>
      </c>
      <c r="M390" s="5">
        <v>4.6887268648345484E-2</v>
      </c>
      <c r="N390" s="5">
        <v>0.50717703349282295</v>
      </c>
      <c r="O390" s="5">
        <v>-2.358490566037736E-2</v>
      </c>
      <c r="P390">
        <v>-7</v>
      </c>
      <c r="Q390" s="1">
        <v>-3.5</v>
      </c>
      <c r="R390">
        <v>-1224770</v>
      </c>
      <c r="S390" s="1">
        <v>-3.5319375955244108</v>
      </c>
    </row>
    <row r="391" spans="1:19" x14ac:dyDescent="0.45">
      <c r="A391" t="s">
        <v>50</v>
      </c>
      <c r="B391" t="s">
        <v>53</v>
      </c>
      <c r="C391" t="s">
        <v>464</v>
      </c>
      <c r="D391" s="2">
        <v>3</v>
      </c>
      <c r="E391" s="2">
        <v>3</v>
      </c>
      <c r="F391" s="2">
        <v>532090</v>
      </c>
      <c r="G391" s="3">
        <v>3.9983058026260059E-2</v>
      </c>
      <c r="H391" s="3">
        <v>0.46822033898305082</v>
      </c>
      <c r="I391" s="3">
        <v>1.3574660633484163E-2</v>
      </c>
      <c r="J391" s="4">
        <v>2</v>
      </c>
      <c r="K391" s="4">
        <v>2</v>
      </c>
      <c r="L391" s="4">
        <v>334410</v>
      </c>
      <c r="M391" s="5">
        <v>4.6887268648345484E-2</v>
      </c>
      <c r="N391" s="5">
        <v>0.50717703349282295</v>
      </c>
      <c r="O391" s="5">
        <v>9.433962264150943E-3</v>
      </c>
      <c r="P391">
        <v>-1</v>
      </c>
      <c r="Q391" s="1">
        <v>-0.33333333333333331</v>
      </c>
      <c r="R391">
        <v>-197680</v>
      </c>
      <c r="S391" s="1">
        <v>-0.37151609690090021</v>
      </c>
    </row>
    <row r="392" spans="1:19" x14ac:dyDescent="0.45">
      <c r="A392" t="s">
        <v>50</v>
      </c>
      <c r="B392" t="s">
        <v>53</v>
      </c>
      <c r="C392" t="s">
        <v>465</v>
      </c>
      <c r="D392" s="2">
        <v>13</v>
      </c>
      <c r="E392" s="2">
        <v>17</v>
      </c>
      <c r="F392" s="2">
        <v>3019880</v>
      </c>
      <c r="G392" s="3">
        <v>3.9983058026260059E-2</v>
      </c>
      <c r="H392" s="3">
        <v>0.46822033898305082</v>
      </c>
      <c r="I392" s="3">
        <v>7.6923076923076927E-2</v>
      </c>
      <c r="J392" s="4">
        <v>13</v>
      </c>
      <c r="K392" s="4">
        <v>18</v>
      </c>
      <c r="L392" s="4">
        <v>3231820</v>
      </c>
      <c r="M392" s="5">
        <v>4.6887268648345484E-2</v>
      </c>
      <c r="N392" s="5">
        <v>0.50717703349282295</v>
      </c>
      <c r="O392" s="5">
        <v>8.4905660377358486E-2</v>
      </c>
      <c r="P392">
        <v>1</v>
      </c>
      <c r="Q392" s="1">
        <v>5.8823529411764705E-2</v>
      </c>
      <c r="R392">
        <v>211940</v>
      </c>
      <c r="S392" s="1">
        <v>7.0181596619733236E-2</v>
      </c>
    </row>
    <row r="393" spans="1:19" x14ac:dyDescent="0.45">
      <c r="A393" t="s">
        <v>50</v>
      </c>
      <c r="B393" t="s">
        <v>53</v>
      </c>
      <c r="C393" t="s">
        <v>466</v>
      </c>
      <c r="D393" s="2">
        <v>3</v>
      </c>
      <c r="E393" s="2">
        <v>3</v>
      </c>
      <c r="F393" s="2">
        <v>783020</v>
      </c>
      <c r="G393" s="3">
        <v>3.9983058026260059E-2</v>
      </c>
      <c r="H393" s="3">
        <v>0.46822033898305082</v>
      </c>
      <c r="I393" s="3">
        <v>1.3574660633484163E-2</v>
      </c>
      <c r="J393" s="4">
        <v>3</v>
      </c>
      <c r="K393" s="4">
        <v>3</v>
      </c>
      <c r="L393" s="4">
        <v>767160</v>
      </c>
      <c r="M393" s="5">
        <v>4.6887268648345484E-2</v>
      </c>
      <c r="N393" s="5">
        <v>0.50717703349282295</v>
      </c>
      <c r="O393" s="5">
        <v>1.4150943396226415E-2</v>
      </c>
      <c r="P393">
        <v>0</v>
      </c>
      <c r="Q393" s="1">
        <v>0</v>
      </c>
      <c r="R393">
        <v>-15860</v>
      </c>
      <c r="S393" s="1">
        <v>-2.025491047482823E-2</v>
      </c>
    </row>
    <row r="394" spans="1:19" x14ac:dyDescent="0.45">
      <c r="A394" t="s">
        <v>50</v>
      </c>
      <c r="B394" t="s">
        <v>53</v>
      </c>
      <c r="C394" t="s">
        <v>467</v>
      </c>
      <c r="D394" s="2">
        <v>0</v>
      </c>
      <c r="E394" s="2">
        <v>0</v>
      </c>
      <c r="F394" s="2">
        <v>0</v>
      </c>
      <c r="G394" s="3">
        <v>3.9983058026260059E-2</v>
      </c>
      <c r="H394" s="3">
        <v>0.46822033898305082</v>
      </c>
      <c r="I394" s="3">
        <v>0</v>
      </c>
      <c r="J394" s="4">
        <v>2</v>
      </c>
      <c r="K394" s="4">
        <v>3</v>
      </c>
      <c r="L394" s="4">
        <v>748310</v>
      </c>
      <c r="M394" s="5">
        <v>4.6887268648345484E-2</v>
      </c>
      <c r="N394" s="5">
        <v>0.50717703349282295</v>
      </c>
      <c r="O394" s="5">
        <v>1.4150943396226415E-2</v>
      </c>
      <c r="P394">
        <v>3</v>
      </c>
      <c r="Q394" s="1">
        <v>1</v>
      </c>
      <c r="R394">
        <v>748310</v>
      </c>
      <c r="S394" s="1">
        <v>1</v>
      </c>
    </row>
    <row r="395" spans="1:19" x14ac:dyDescent="0.45">
      <c r="A395" t="s">
        <v>50</v>
      </c>
      <c r="B395" t="s">
        <v>53</v>
      </c>
      <c r="C395" t="s">
        <v>468</v>
      </c>
      <c r="D395" s="2">
        <v>1</v>
      </c>
      <c r="E395" s="2">
        <v>1</v>
      </c>
      <c r="F395" s="2">
        <v>260920</v>
      </c>
      <c r="G395" s="3">
        <v>3.9983058026260059E-2</v>
      </c>
      <c r="H395" s="3">
        <v>0.46822033898305082</v>
      </c>
      <c r="I395" s="3">
        <v>4.5248868778280547E-3</v>
      </c>
      <c r="J395" s="4">
        <v>0</v>
      </c>
      <c r="K395" s="4">
        <v>0</v>
      </c>
      <c r="L395" s="4">
        <v>0</v>
      </c>
      <c r="M395" s="5">
        <v>4.6887268648345484E-2</v>
      </c>
      <c r="N395" s="5">
        <v>0.50717703349282295</v>
      </c>
      <c r="O395" s="5">
        <v>0</v>
      </c>
      <c r="P395">
        <v>-1</v>
      </c>
      <c r="Q395" s="1">
        <v>-1</v>
      </c>
      <c r="R395">
        <v>-260920</v>
      </c>
      <c r="S395" s="1">
        <v>-1</v>
      </c>
    </row>
    <row r="396" spans="1:19" x14ac:dyDescent="0.45">
      <c r="A396" t="s">
        <v>50</v>
      </c>
      <c r="B396" t="s">
        <v>53</v>
      </c>
      <c r="C396" t="s">
        <v>469</v>
      </c>
      <c r="D396" s="2">
        <v>3</v>
      </c>
      <c r="E396" s="2">
        <v>3</v>
      </c>
      <c r="F396" s="2">
        <v>726880</v>
      </c>
      <c r="G396" s="3">
        <v>3.9983058026260059E-2</v>
      </c>
      <c r="H396" s="3">
        <v>0.46822033898305082</v>
      </c>
      <c r="I396" s="3">
        <v>1.3574660633484163E-2</v>
      </c>
      <c r="J396" s="4">
        <v>6</v>
      </c>
      <c r="K396" s="4">
        <v>7</v>
      </c>
      <c r="L396" s="4">
        <v>1730770</v>
      </c>
      <c r="M396" s="5">
        <v>4.6887268648345484E-2</v>
      </c>
      <c r="N396" s="5">
        <v>0.50717703349282295</v>
      </c>
      <c r="O396" s="5">
        <v>3.3018867924528301E-2</v>
      </c>
      <c r="P396">
        <v>4</v>
      </c>
      <c r="Q396" s="1">
        <v>1.3333333333333333</v>
      </c>
      <c r="R396">
        <v>1003890</v>
      </c>
      <c r="S396" s="1">
        <v>1.3810945410521682</v>
      </c>
    </row>
    <row r="397" spans="1:19" x14ac:dyDescent="0.45">
      <c r="A397" t="s">
        <v>50</v>
      </c>
      <c r="B397" t="s">
        <v>53</v>
      </c>
      <c r="C397" t="s">
        <v>470</v>
      </c>
      <c r="D397" s="2">
        <v>3</v>
      </c>
      <c r="E397" s="2">
        <v>3</v>
      </c>
      <c r="F397" s="2">
        <v>596750</v>
      </c>
      <c r="G397" s="3">
        <v>3.9983058026260059E-2</v>
      </c>
      <c r="H397" s="3">
        <v>0.46822033898305082</v>
      </c>
      <c r="I397" s="3">
        <v>1.3574660633484163E-2</v>
      </c>
      <c r="J397" s="4">
        <v>1</v>
      </c>
      <c r="K397" s="4">
        <v>1</v>
      </c>
      <c r="L397" s="4">
        <v>192180</v>
      </c>
      <c r="M397" s="5">
        <v>4.6887268648345484E-2</v>
      </c>
      <c r="N397" s="5">
        <v>0.50717703349282295</v>
      </c>
      <c r="O397" s="5">
        <v>4.7169811320754715E-3</v>
      </c>
      <c r="P397">
        <v>-2</v>
      </c>
      <c r="Q397" s="1">
        <v>-0.66666666666666663</v>
      </c>
      <c r="R397">
        <v>-404570</v>
      </c>
      <c r="S397" s="1">
        <v>-0.67795559279430251</v>
      </c>
    </row>
    <row r="398" spans="1:19" x14ac:dyDescent="0.45">
      <c r="A398" t="s">
        <v>50</v>
      </c>
      <c r="B398" t="s">
        <v>53</v>
      </c>
      <c r="C398" t="s">
        <v>471</v>
      </c>
      <c r="D398" s="2">
        <v>12</v>
      </c>
      <c r="E398" s="2">
        <v>16</v>
      </c>
      <c r="F398" s="2">
        <v>3179730</v>
      </c>
      <c r="G398" s="3">
        <v>3.9983058026260059E-2</v>
      </c>
      <c r="H398" s="3">
        <v>0.46822033898305082</v>
      </c>
      <c r="I398" s="3">
        <v>7.2398190045248875E-2</v>
      </c>
      <c r="J398" s="4">
        <v>10</v>
      </c>
      <c r="K398" s="4">
        <v>11</v>
      </c>
      <c r="L398" s="4">
        <v>2220280</v>
      </c>
      <c r="M398" s="5">
        <v>4.6887268648345484E-2</v>
      </c>
      <c r="N398" s="5">
        <v>0.50717703349282295</v>
      </c>
      <c r="O398" s="5">
        <v>5.1886792452830191E-2</v>
      </c>
      <c r="P398">
        <v>-5</v>
      </c>
      <c r="Q398" s="1">
        <v>-0.3125</v>
      </c>
      <c r="R398">
        <v>-959450</v>
      </c>
      <c r="S398" s="1">
        <v>-0.30173945586574963</v>
      </c>
    </row>
    <row r="399" spans="1:19" x14ac:dyDescent="0.45">
      <c r="A399" t="s">
        <v>50</v>
      </c>
      <c r="B399" t="s">
        <v>53</v>
      </c>
      <c r="C399" t="s">
        <v>472</v>
      </c>
      <c r="D399" s="2">
        <v>5</v>
      </c>
      <c r="E399" s="2">
        <v>6</v>
      </c>
      <c r="F399" s="2">
        <v>1232730</v>
      </c>
      <c r="G399" s="3">
        <v>3.9983058026260059E-2</v>
      </c>
      <c r="H399" s="3">
        <v>0.46822033898305082</v>
      </c>
      <c r="I399" s="3">
        <v>2.7149321266968326E-2</v>
      </c>
      <c r="J399" s="4">
        <v>3</v>
      </c>
      <c r="K399" s="4">
        <v>3</v>
      </c>
      <c r="L399" s="4">
        <v>603020</v>
      </c>
      <c r="M399" s="5">
        <v>4.6887268648345484E-2</v>
      </c>
      <c r="N399" s="5">
        <v>0.50717703349282295</v>
      </c>
      <c r="O399" s="5">
        <v>1.4150943396226415E-2</v>
      </c>
      <c r="P399">
        <v>-3</v>
      </c>
      <c r="Q399" s="1">
        <v>-0.5</v>
      </c>
      <c r="R399">
        <v>-629710</v>
      </c>
      <c r="S399" s="1">
        <v>-0.51082556602013418</v>
      </c>
    </row>
    <row r="400" spans="1:19" x14ac:dyDescent="0.45">
      <c r="A400" t="s">
        <v>50</v>
      </c>
      <c r="B400" t="s">
        <v>53</v>
      </c>
      <c r="C400" t="s">
        <v>473</v>
      </c>
      <c r="D400" s="2">
        <v>1</v>
      </c>
      <c r="E400" s="2">
        <v>1</v>
      </c>
      <c r="F400" s="2">
        <v>192170</v>
      </c>
      <c r="G400" s="3">
        <v>3.9983058026260059E-2</v>
      </c>
      <c r="H400" s="3">
        <v>0.46822033898305082</v>
      </c>
      <c r="I400" s="3">
        <v>4.5248868778280547E-3</v>
      </c>
      <c r="J400" s="4">
        <v>4</v>
      </c>
      <c r="K400" s="4">
        <v>4</v>
      </c>
      <c r="L400" s="4">
        <v>828120</v>
      </c>
      <c r="M400" s="5">
        <v>4.6887268648345484E-2</v>
      </c>
      <c r="N400" s="5">
        <v>0.50717703349282295</v>
      </c>
      <c r="O400" s="5">
        <v>1.8867924528301886E-2</v>
      </c>
      <c r="P400">
        <v>3</v>
      </c>
      <c r="Q400" s="1">
        <v>3</v>
      </c>
      <c r="R400">
        <v>635950</v>
      </c>
      <c r="S400" s="1">
        <v>3.3093094655773534</v>
      </c>
    </row>
    <row r="401" spans="1:19" x14ac:dyDescent="0.45">
      <c r="A401" t="s">
        <v>50</v>
      </c>
      <c r="B401" t="s">
        <v>53</v>
      </c>
      <c r="C401" t="s">
        <v>474</v>
      </c>
      <c r="D401" s="2">
        <v>13</v>
      </c>
      <c r="E401" s="2">
        <v>14</v>
      </c>
      <c r="F401" s="2">
        <v>2819120</v>
      </c>
      <c r="G401" s="3">
        <v>3.9983058026260059E-2</v>
      </c>
      <c r="H401" s="3">
        <v>0.46822033898305082</v>
      </c>
      <c r="I401" s="3">
        <v>6.3348416289592757E-2</v>
      </c>
      <c r="J401" s="4">
        <v>16</v>
      </c>
      <c r="K401" s="4">
        <v>19</v>
      </c>
      <c r="L401" s="4">
        <v>3816150</v>
      </c>
      <c r="M401" s="5">
        <v>4.6887268648345484E-2</v>
      </c>
      <c r="N401" s="5">
        <v>0.50717703349282295</v>
      </c>
      <c r="O401" s="5">
        <v>8.9622641509433956E-2</v>
      </c>
      <c r="P401">
        <v>5</v>
      </c>
      <c r="Q401" s="1">
        <v>0.35714285714285715</v>
      </c>
      <c r="R401">
        <v>997030</v>
      </c>
      <c r="S401" s="1">
        <v>0.35366710179062971</v>
      </c>
    </row>
    <row r="402" spans="1:19" x14ac:dyDescent="0.45">
      <c r="A402" t="s">
        <v>50</v>
      </c>
      <c r="B402" t="s">
        <v>53</v>
      </c>
      <c r="C402" t="s">
        <v>475</v>
      </c>
      <c r="D402" s="2">
        <v>2</v>
      </c>
      <c r="E402" s="2">
        <v>4</v>
      </c>
      <c r="F402" s="2">
        <v>1111080</v>
      </c>
      <c r="G402" s="3">
        <v>3.9983058026260059E-2</v>
      </c>
      <c r="H402" s="3">
        <v>0.46822033898305082</v>
      </c>
      <c r="I402" s="3">
        <v>1.8099547511312219E-2</v>
      </c>
      <c r="J402" s="4">
        <v>2</v>
      </c>
      <c r="K402" s="4">
        <v>2</v>
      </c>
      <c r="L402" s="4">
        <v>529460</v>
      </c>
      <c r="M402" s="5">
        <v>4.6887268648345484E-2</v>
      </c>
      <c r="N402" s="5">
        <v>0.50717703349282295</v>
      </c>
      <c r="O402" s="5">
        <v>9.433962264150943E-3</v>
      </c>
      <c r="P402">
        <v>-2</v>
      </c>
      <c r="Q402" s="1">
        <v>-0.5</v>
      </c>
      <c r="R402">
        <v>-581620</v>
      </c>
      <c r="S402" s="1">
        <v>-0.52347265723440262</v>
      </c>
    </row>
    <row r="403" spans="1:19" x14ac:dyDescent="0.45">
      <c r="A403" t="s">
        <v>50</v>
      </c>
      <c r="B403" t="s">
        <v>53</v>
      </c>
      <c r="C403" t="s">
        <v>476</v>
      </c>
      <c r="D403" s="2">
        <v>5</v>
      </c>
      <c r="E403" s="2">
        <v>6</v>
      </c>
      <c r="F403" s="2">
        <v>1534090</v>
      </c>
      <c r="G403" s="3">
        <v>3.9983058026260059E-2</v>
      </c>
      <c r="H403" s="3">
        <v>0.46822033898305082</v>
      </c>
      <c r="I403" s="3">
        <v>2.7149321266968326E-2</v>
      </c>
      <c r="J403" s="4">
        <v>8</v>
      </c>
      <c r="K403" s="4">
        <v>8</v>
      </c>
      <c r="L403" s="4">
        <v>2175440</v>
      </c>
      <c r="M403" s="5">
        <v>4.6887268648345484E-2</v>
      </c>
      <c r="N403" s="5">
        <v>0.50717703349282295</v>
      </c>
      <c r="O403" s="5">
        <v>3.7735849056603772E-2</v>
      </c>
      <c r="P403">
        <v>2</v>
      </c>
      <c r="Q403" s="1">
        <v>0.33333333333333331</v>
      </c>
      <c r="R403">
        <v>641350</v>
      </c>
      <c r="S403" s="1">
        <v>0.41806543292766396</v>
      </c>
    </row>
    <row r="404" spans="1:19" x14ac:dyDescent="0.45">
      <c r="A404" t="s">
        <v>50</v>
      </c>
      <c r="B404" t="s">
        <v>53</v>
      </c>
      <c r="C404" t="s">
        <v>477</v>
      </c>
      <c r="D404" s="2">
        <v>1</v>
      </c>
      <c r="E404" s="2">
        <v>2</v>
      </c>
      <c r="F404" s="2">
        <v>564000</v>
      </c>
      <c r="G404" s="3">
        <v>3.9983058026260059E-2</v>
      </c>
      <c r="H404" s="3">
        <v>0.46822033898305082</v>
      </c>
      <c r="I404" s="3">
        <v>9.0497737556561094E-3</v>
      </c>
      <c r="J404" s="4">
        <v>0</v>
      </c>
      <c r="K404" s="4">
        <v>0</v>
      </c>
      <c r="L404" s="4">
        <v>0</v>
      </c>
      <c r="M404" s="5">
        <v>4.6887268648345484E-2</v>
      </c>
      <c r="N404" s="5">
        <v>0.50717703349282295</v>
      </c>
      <c r="O404" s="5">
        <v>0</v>
      </c>
      <c r="P404">
        <v>-2</v>
      </c>
      <c r="Q404" s="1">
        <v>-1</v>
      </c>
      <c r="R404">
        <v>-564000</v>
      </c>
      <c r="S404" s="1">
        <v>-1</v>
      </c>
    </row>
    <row r="405" spans="1:19" x14ac:dyDescent="0.45">
      <c r="A405" t="s">
        <v>50</v>
      </c>
      <c r="B405" t="s">
        <v>53</v>
      </c>
      <c r="C405" t="s">
        <v>478</v>
      </c>
      <c r="D405" s="2">
        <v>1</v>
      </c>
      <c r="E405" s="2">
        <v>1</v>
      </c>
      <c r="F405" s="2">
        <v>265330</v>
      </c>
      <c r="G405" s="3">
        <v>3.9983058026260059E-2</v>
      </c>
      <c r="H405" s="3">
        <v>0.46822033898305082</v>
      </c>
      <c r="I405" s="3">
        <v>4.5248868778280547E-3</v>
      </c>
      <c r="J405" s="4">
        <v>2</v>
      </c>
      <c r="K405" s="4">
        <v>2</v>
      </c>
      <c r="L405" s="4">
        <v>519960</v>
      </c>
      <c r="M405" s="5">
        <v>4.6887268648345484E-2</v>
      </c>
      <c r="N405" s="5">
        <v>0.50717703349282295</v>
      </c>
      <c r="O405" s="5">
        <v>9.433962264150943E-3</v>
      </c>
      <c r="P405">
        <v>1</v>
      </c>
      <c r="Q405" s="1">
        <v>1</v>
      </c>
      <c r="R405">
        <v>254630</v>
      </c>
      <c r="S405" s="1">
        <v>0.95967286021181175</v>
      </c>
    </row>
    <row r="406" spans="1:19" x14ac:dyDescent="0.45">
      <c r="A406" t="s">
        <v>50</v>
      </c>
      <c r="B406" t="s">
        <v>53</v>
      </c>
      <c r="C406" t="s">
        <v>479</v>
      </c>
      <c r="D406" s="2">
        <v>14</v>
      </c>
      <c r="E406" s="2">
        <v>19</v>
      </c>
      <c r="F406" s="2">
        <v>4987080</v>
      </c>
      <c r="G406" s="3">
        <v>3.9983058026260059E-2</v>
      </c>
      <c r="H406" s="3">
        <v>0.46822033898305082</v>
      </c>
      <c r="I406" s="3">
        <v>8.5972850678733032E-2</v>
      </c>
      <c r="J406" s="4">
        <v>17</v>
      </c>
      <c r="K406" s="4">
        <v>18</v>
      </c>
      <c r="L406" s="4">
        <v>4738910</v>
      </c>
      <c r="M406" s="5">
        <v>4.6887268648345484E-2</v>
      </c>
      <c r="N406" s="5">
        <v>0.50717703349282295</v>
      </c>
      <c r="O406" s="5">
        <v>8.4905660377358486E-2</v>
      </c>
      <c r="P406">
        <v>-1</v>
      </c>
      <c r="Q406" s="1">
        <v>-5.2631578947368418E-2</v>
      </c>
      <c r="R406">
        <v>-248170</v>
      </c>
      <c r="S406" s="1">
        <v>-4.9762586523576922E-2</v>
      </c>
    </row>
    <row r="407" spans="1:19" x14ac:dyDescent="0.45">
      <c r="A407" t="s">
        <v>50</v>
      </c>
      <c r="B407" t="s">
        <v>53</v>
      </c>
      <c r="C407" t="s">
        <v>480</v>
      </c>
      <c r="D407" s="2">
        <v>4</v>
      </c>
      <c r="E407" s="2">
        <v>5</v>
      </c>
      <c r="F407" s="2">
        <v>1232550</v>
      </c>
      <c r="G407" s="3">
        <v>3.9983058026260059E-2</v>
      </c>
      <c r="H407" s="3">
        <v>0.46822033898305082</v>
      </c>
      <c r="I407" s="3">
        <v>2.2624434389140271E-2</v>
      </c>
      <c r="J407" s="4">
        <v>1</v>
      </c>
      <c r="K407" s="4">
        <v>2</v>
      </c>
      <c r="L407" s="4">
        <v>498000</v>
      </c>
      <c r="M407" s="5">
        <v>4.6887268648345484E-2</v>
      </c>
      <c r="N407" s="5">
        <v>0.50717703349282295</v>
      </c>
      <c r="O407" s="5">
        <v>9.433962264150943E-3</v>
      </c>
      <c r="P407">
        <v>-3</v>
      </c>
      <c r="Q407" s="1">
        <v>-0.6</v>
      </c>
      <c r="R407">
        <v>-734550</v>
      </c>
      <c r="S407" s="1">
        <v>-0.59595959595959591</v>
      </c>
    </row>
    <row r="408" spans="1:19" x14ac:dyDescent="0.45">
      <c r="A408" t="s">
        <v>50</v>
      </c>
      <c r="B408" t="s">
        <v>53</v>
      </c>
      <c r="C408" t="s">
        <v>481</v>
      </c>
      <c r="D408" s="2">
        <v>0</v>
      </c>
      <c r="E408" s="2">
        <v>0</v>
      </c>
      <c r="F408" s="2">
        <v>0</v>
      </c>
      <c r="G408" s="3">
        <v>3.9983058026260059E-2</v>
      </c>
      <c r="H408" s="3">
        <v>0.46822033898305082</v>
      </c>
      <c r="I408" s="3">
        <v>0</v>
      </c>
      <c r="J408" s="4">
        <v>1</v>
      </c>
      <c r="K408" s="4">
        <v>1</v>
      </c>
      <c r="L408" s="4">
        <v>241530</v>
      </c>
      <c r="M408" s="5">
        <v>4.6887268648345484E-2</v>
      </c>
      <c r="N408" s="5">
        <v>0.50717703349282295</v>
      </c>
      <c r="O408" s="5">
        <v>4.7169811320754715E-3</v>
      </c>
      <c r="P408">
        <v>1</v>
      </c>
      <c r="Q408" s="1">
        <v>1</v>
      </c>
      <c r="R408">
        <v>241530</v>
      </c>
      <c r="S408" s="1">
        <v>1</v>
      </c>
    </row>
    <row r="409" spans="1:19" x14ac:dyDescent="0.45">
      <c r="A409" t="s">
        <v>50</v>
      </c>
      <c r="B409" t="s">
        <v>53</v>
      </c>
      <c r="C409" t="s">
        <v>482</v>
      </c>
      <c r="D409" s="2">
        <v>1</v>
      </c>
      <c r="E409" s="2">
        <v>1</v>
      </c>
      <c r="F409" s="2">
        <v>222570</v>
      </c>
      <c r="G409" s="3">
        <v>3.9983058026260059E-2</v>
      </c>
      <c r="H409" s="3">
        <v>0.46822033898305082</v>
      </c>
      <c r="I409" s="3">
        <v>4.5248868778280547E-3</v>
      </c>
      <c r="J409" s="4">
        <v>1</v>
      </c>
      <c r="K409" s="4">
        <v>2</v>
      </c>
      <c r="L409" s="4">
        <v>483060</v>
      </c>
      <c r="M409" s="5">
        <v>4.6887268648345484E-2</v>
      </c>
      <c r="N409" s="5">
        <v>0.50717703349282295</v>
      </c>
      <c r="O409" s="5">
        <v>9.433962264150943E-3</v>
      </c>
      <c r="P409">
        <v>1</v>
      </c>
      <c r="Q409" s="1">
        <v>1</v>
      </c>
      <c r="R409">
        <v>260490</v>
      </c>
      <c r="S409" s="1">
        <v>1.1703733656827067</v>
      </c>
    </row>
    <row r="410" spans="1:19" x14ac:dyDescent="0.45">
      <c r="A410" t="s">
        <v>50</v>
      </c>
      <c r="B410" t="s">
        <v>53</v>
      </c>
      <c r="C410" t="s">
        <v>483</v>
      </c>
      <c r="D410" s="2">
        <v>1</v>
      </c>
      <c r="E410" s="2">
        <v>1</v>
      </c>
      <c r="F410" s="2">
        <v>309420</v>
      </c>
      <c r="G410" s="3">
        <v>3.9983058026260059E-2</v>
      </c>
      <c r="H410" s="3">
        <v>0.46822033898305082</v>
      </c>
      <c r="I410" s="3">
        <v>4.5248868778280547E-3</v>
      </c>
      <c r="J410" s="4">
        <v>0</v>
      </c>
      <c r="K410" s="4">
        <v>0</v>
      </c>
      <c r="L410" s="4">
        <v>0</v>
      </c>
      <c r="M410" s="5">
        <v>4.6887268648345484E-2</v>
      </c>
      <c r="N410" s="5">
        <v>0.50717703349282295</v>
      </c>
      <c r="O410" s="5">
        <v>0</v>
      </c>
      <c r="P410">
        <v>-1</v>
      </c>
      <c r="Q410" s="1">
        <v>-1</v>
      </c>
      <c r="R410">
        <v>-309420</v>
      </c>
      <c r="S410" s="1">
        <v>-1</v>
      </c>
    </row>
    <row r="411" spans="1:19" x14ac:dyDescent="0.45">
      <c r="A411" t="s">
        <v>50</v>
      </c>
      <c r="B411" t="s">
        <v>53</v>
      </c>
      <c r="C411" t="s">
        <v>484</v>
      </c>
      <c r="D411" s="2">
        <v>0</v>
      </c>
      <c r="E411" s="2">
        <v>0</v>
      </c>
      <c r="F411" s="2">
        <v>0</v>
      </c>
      <c r="G411" s="3">
        <v>3.9983058026260059E-2</v>
      </c>
      <c r="H411" s="3">
        <v>0.46822033898305082</v>
      </c>
      <c r="I411" s="3">
        <v>0</v>
      </c>
      <c r="J411" s="4">
        <v>2</v>
      </c>
      <c r="K411" s="4">
        <v>2</v>
      </c>
      <c r="L411" s="4">
        <v>628430</v>
      </c>
      <c r="M411" s="5">
        <v>4.6887268648345484E-2</v>
      </c>
      <c r="N411" s="5">
        <v>0.50717703349282295</v>
      </c>
      <c r="O411" s="5">
        <v>9.433962264150943E-3</v>
      </c>
      <c r="P411">
        <v>2</v>
      </c>
      <c r="Q411" s="1">
        <v>1</v>
      </c>
      <c r="R411">
        <v>628430</v>
      </c>
      <c r="S411" s="1">
        <v>1</v>
      </c>
    </row>
    <row r="412" spans="1:19" x14ac:dyDescent="0.45">
      <c r="A412" t="s">
        <v>50</v>
      </c>
      <c r="B412" t="s">
        <v>53</v>
      </c>
      <c r="C412" t="s">
        <v>485</v>
      </c>
      <c r="D412" s="2">
        <v>1</v>
      </c>
      <c r="E412" s="2">
        <v>1</v>
      </c>
      <c r="F412" s="2">
        <v>289560</v>
      </c>
      <c r="G412" s="3">
        <v>3.9983058026260059E-2</v>
      </c>
      <c r="H412" s="3">
        <v>0.46822033898305082</v>
      </c>
      <c r="I412" s="3">
        <v>4.5248868778280547E-3</v>
      </c>
      <c r="J412" s="4">
        <v>0</v>
      </c>
      <c r="K412" s="4">
        <v>0</v>
      </c>
      <c r="L412" s="4">
        <v>0</v>
      </c>
      <c r="M412" s="5">
        <v>4.6887268648345484E-2</v>
      </c>
      <c r="N412" s="5">
        <v>0.50717703349282295</v>
      </c>
      <c r="O412" s="5">
        <v>0</v>
      </c>
      <c r="P412">
        <v>-1</v>
      </c>
      <c r="Q412" s="1">
        <v>-1</v>
      </c>
      <c r="R412">
        <v>-289560</v>
      </c>
      <c r="S412" s="1">
        <v>-1</v>
      </c>
    </row>
    <row r="413" spans="1:19" x14ac:dyDescent="0.45">
      <c r="A413" t="s">
        <v>50</v>
      </c>
      <c r="B413" t="s">
        <v>53</v>
      </c>
      <c r="C413" t="s">
        <v>486</v>
      </c>
      <c r="D413" s="2">
        <v>13</v>
      </c>
      <c r="E413" s="2">
        <v>15</v>
      </c>
      <c r="F413" s="2">
        <v>2349650</v>
      </c>
      <c r="G413" s="3">
        <v>3.9983058026260059E-2</v>
      </c>
      <c r="H413" s="3">
        <v>0.46822033898305082</v>
      </c>
      <c r="I413" s="3">
        <v>6.7873303167420809E-2</v>
      </c>
      <c r="J413" s="4">
        <v>6</v>
      </c>
      <c r="K413" s="4">
        <v>6</v>
      </c>
      <c r="L413" s="4">
        <v>920900</v>
      </c>
      <c r="M413" s="5">
        <v>4.6887268648345484E-2</v>
      </c>
      <c r="N413" s="5">
        <v>0.50717703349282295</v>
      </c>
      <c r="O413" s="5">
        <v>2.8301886792452831E-2</v>
      </c>
      <c r="P413">
        <v>-9</v>
      </c>
      <c r="Q413" s="1">
        <v>-0.6</v>
      </c>
      <c r="R413">
        <v>-1428750</v>
      </c>
      <c r="S413" s="1">
        <v>-0.60806928691507245</v>
      </c>
    </row>
    <row r="414" spans="1:19" x14ac:dyDescent="0.45">
      <c r="A414" t="s">
        <v>50</v>
      </c>
      <c r="B414" t="s">
        <v>53</v>
      </c>
      <c r="C414" t="s">
        <v>487</v>
      </c>
      <c r="D414" s="2">
        <v>4</v>
      </c>
      <c r="E414" s="2">
        <v>4</v>
      </c>
      <c r="F414" s="2">
        <v>631570</v>
      </c>
      <c r="G414" s="3">
        <v>3.9983058026260059E-2</v>
      </c>
      <c r="H414" s="3">
        <v>0.46822033898305082</v>
      </c>
      <c r="I414" s="3">
        <v>1.8099547511312219E-2</v>
      </c>
      <c r="J414" s="4">
        <v>0</v>
      </c>
      <c r="K414" s="4">
        <v>0</v>
      </c>
      <c r="L414" s="4">
        <v>0</v>
      </c>
      <c r="M414" s="5">
        <v>4.6887268648345484E-2</v>
      </c>
      <c r="N414" s="5">
        <v>0.50717703349282295</v>
      </c>
      <c r="O414" s="5">
        <v>0</v>
      </c>
      <c r="P414">
        <v>-4</v>
      </c>
      <c r="Q414" s="1">
        <v>-1</v>
      </c>
      <c r="R414">
        <v>-631570</v>
      </c>
      <c r="S414" s="1">
        <v>-1</v>
      </c>
    </row>
    <row r="415" spans="1:19" x14ac:dyDescent="0.45">
      <c r="A415" t="s">
        <v>50</v>
      </c>
      <c r="B415" t="s">
        <v>53</v>
      </c>
      <c r="C415" t="s">
        <v>488</v>
      </c>
      <c r="D415" s="2">
        <v>1</v>
      </c>
      <c r="E415" s="2">
        <v>1</v>
      </c>
      <c r="F415" s="2">
        <v>146580</v>
      </c>
      <c r="G415" s="3">
        <v>3.9983058026260059E-2</v>
      </c>
      <c r="H415" s="3">
        <v>0.46822033898305082</v>
      </c>
      <c r="I415" s="3">
        <v>4.5248868778280547E-3</v>
      </c>
      <c r="J415" s="4">
        <v>3</v>
      </c>
      <c r="K415" s="4">
        <v>4</v>
      </c>
      <c r="L415" s="4">
        <v>641390</v>
      </c>
      <c r="M415" s="5">
        <v>4.6887268648345484E-2</v>
      </c>
      <c r="N415" s="5">
        <v>0.50717703349282295</v>
      </c>
      <c r="O415" s="5">
        <v>1.8867924528301886E-2</v>
      </c>
      <c r="P415">
        <v>3</v>
      </c>
      <c r="Q415" s="1">
        <v>3</v>
      </c>
      <c r="R415">
        <v>494810</v>
      </c>
      <c r="S415" s="1">
        <v>3.3756992768454088</v>
      </c>
    </row>
    <row r="416" spans="1:19" x14ac:dyDescent="0.45">
      <c r="A416" t="s">
        <v>50</v>
      </c>
      <c r="B416" t="s">
        <v>53</v>
      </c>
      <c r="C416" t="s">
        <v>489</v>
      </c>
      <c r="D416" s="2">
        <v>10</v>
      </c>
      <c r="E416" s="2">
        <v>11</v>
      </c>
      <c r="F416" s="2">
        <v>1731840</v>
      </c>
      <c r="G416" s="3">
        <v>3.9983058026260059E-2</v>
      </c>
      <c r="H416" s="3">
        <v>0.46822033898305082</v>
      </c>
      <c r="I416" s="3">
        <v>4.9773755656108594E-2</v>
      </c>
      <c r="J416" s="4">
        <v>18</v>
      </c>
      <c r="K416" s="4">
        <v>21</v>
      </c>
      <c r="L416" s="4">
        <v>3265290</v>
      </c>
      <c r="M416" s="5">
        <v>4.6887268648345484E-2</v>
      </c>
      <c r="N416" s="5">
        <v>0.50717703349282295</v>
      </c>
      <c r="O416" s="5">
        <v>9.9056603773584911E-2</v>
      </c>
      <c r="P416">
        <v>10</v>
      </c>
      <c r="Q416" s="1">
        <v>0.90909090909090906</v>
      </c>
      <c r="R416">
        <v>1533450</v>
      </c>
      <c r="S416" s="1">
        <v>0.88544553769401335</v>
      </c>
    </row>
    <row r="417" spans="1:19" x14ac:dyDescent="0.45">
      <c r="A417" t="s">
        <v>50</v>
      </c>
      <c r="B417" t="s">
        <v>53</v>
      </c>
      <c r="C417" t="s">
        <v>490</v>
      </c>
      <c r="D417" s="2">
        <v>4</v>
      </c>
      <c r="E417" s="2">
        <v>6</v>
      </c>
      <c r="F417" s="2">
        <v>1351760</v>
      </c>
      <c r="G417" s="3">
        <v>3.9983058026260059E-2</v>
      </c>
      <c r="H417" s="3">
        <v>0.46822033898305082</v>
      </c>
      <c r="I417" s="3">
        <v>2.7149321266968326E-2</v>
      </c>
      <c r="J417" s="4">
        <v>3</v>
      </c>
      <c r="K417" s="4">
        <v>3</v>
      </c>
      <c r="L417" s="4">
        <v>651100</v>
      </c>
      <c r="M417" s="5">
        <v>4.6887268648345484E-2</v>
      </c>
      <c r="N417" s="5">
        <v>0.50717703349282295</v>
      </c>
      <c r="O417" s="5">
        <v>1.4150943396226415E-2</v>
      </c>
      <c r="P417">
        <v>-3</v>
      </c>
      <c r="Q417" s="1">
        <v>-0.5</v>
      </c>
      <c r="R417">
        <v>-700660</v>
      </c>
      <c r="S417" s="1">
        <v>-0.51833165650707225</v>
      </c>
    </row>
    <row r="418" spans="1:19" x14ac:dyDescent="0.45">
      <c r="A418" t="s">
        <v>50</v>
      </c>
      <c r="B418" t="s">
        <v>53</v>
      </c>
      <c r="C418" t="s">
        <v>491</v>
      </c>
      <c r="D418" s="2">
        <v>1</v>
      </c>
      <c r="E418" s="2">
        <v>1</v>
      </c>
      <c r="F418" s="2">
        <v>231000</v>
      </c>
      <c r="G418" s="3">
        <v>3.9983058026260059E-2</v>
      </c>
      <c r="H418" s="3">
        <v>0.46822033898305082</v>
      </c>
      <c r="I418" s="3">
        <v>4.5248868778280547E-3</v>
      </c>
      <c r="J418" s="4">
        <v>0</v>
      </c>
      <c r="K418" s="4">
        <v>0</v>
      </c>
      <c r="L418" s="4">
        <v>0</v>
      </c>
      <c r="M418" s="5">
        <v>4.6887268648345484E-2</v>
      </c>
      <c r="N418" s="5">
        <v>0.50717703349282295</v>
      </c>
      <c r="O418" s="5">
        <v>0</v>
      </c>
      <c r="P418">
        <v>-1</v>
      </c>
      <c r="Q418" s="1">
        <v>-1</v>
      </c>
      <c r="R418">
        <v>-231000</v>
      </c>
      <c r="S418" s="1">
        <v>-1</v>
      </c>
    </row>
    <row r="419" spans="1:19" x14ac:dyDescent="0.45">
      <c r="A419" t="s">
        <v>50</v>
      </c>
      <c r="B419" t="s">
        <v>53</v>
      </c>
      <c r="C419" t="s">
        <v>492</v>
      </c>
      <c r="D419" s="2">
        <v>0</v>
      </c>
      <c r="E419" s="2">
        <v>0</v>
      </c>
      <c r="F419" s="2">
        <v>0</v>
      </c>
      <c r="G419" s="3">
        <v>3.9983058026260059E-2</v>
      </c>
      <c r="H419" s="3">
        <v>0.46822033898305082</v>
      </c>
      <c r="I419" s="3">
        <v>0</v>
      </c>
      <c r="J419" s="4">
        <v>3</v>
      </c>
      <c r="K419" s="4">
        <v>3</v>
      </c>
      <c r="L419" s="4">
        <v>661570</v>
      </c>
      <c r="M419" s="5">
        <v>4.6887268648345484E-2</v>
      </c>
      <c r="N419" s="5">
        <v>0.50717703349282295</v>
      </c>
      <c r="O419" s="5">
        <v>1.4150943396226415E-2</v>
      </c>
      <c r="P419">
        <v>3</v>
      </c>
      <c r="Q419" s="1">
        <v>1</v>
      </c>
      <c r="R419">
        <v>661570</v>
      </c>
      <c r="S419" s="1">
        <v>1</v>
      </c>
    </row>
    <row r="420" spans="1:19" x14ac:dyDescent="0.45">
      <c r="A420" t="s">
        <v>50</v>
      </c>
      <c r="B420" t="s">
        <v>53</v>
      </c>
      <c r="C420" t="s">
        <v>493</v>
      </c>
      <c r="D420" s="2">
        <v>2</v>
      </c>
      <c r="E420" s="2">
        <v>2</v>
      </c>
      <c r="F420" s="2">
        <v>388190</v>
      </c>
      <c r="G420" s="3">
        <v>3.9983058026260059E-2</v>
      </c>
      <c r="H420" s="3">
        <v>0.46822033898305082</v>
      </c>
      <c r="I420" s="3">
        <v>9.0497737556561094E-3</v>
      </c>
      <c r="J420" s="4">
        <v>9</v>
      </c>
      <c r="K420" s="4">
        <v>9</v>
      </c>
      <c r="L420" s="4">
        <v>1959110</v>
      </c>
      <c r="M420" s="5">
        <v>4.6887268648345484E-2</v>
      </c>
      <c r="N420" s="5">
        <v>0.50717703349282295</v>
      </c>
      <c r="O420" s="5">
        <v>4.2452830188679243E-2</v>
      </c>
      <c r="P420">
        <v>7</v>
      </c>
      <c r="Q420" s="1">
        <v>3.5</v>
      </c>
      <c r="R420">
        <v>1570920</v>
      </c>
      <c r="S420" s="1">
        <v>4.0467812153842191</v>
      </c>
    </row>
    <row r="421" spans="1:19" x14ac:dyDescent="0.45">
      <c r="A421" t="s">
        <v>54</v>
      </c>
      <c r="B421" t="s">
        <v>54</v>
      </c>
      <c r="C421" t="s">
        <v>494</v>
      </c>
      <c r="D421" s="2">
        <v>13</v>
      </c>
      <c r="E421" s="2">
        <v>15</v>
      </c>
      <c r="F421" s="2">
        <v>4229060</v>
      </c>
      <c r="G421" s="3">
        <v>1.0588733587462939E-2</v>
      </c>
      <c r="H421" s="3">
        <v>1</v>
      </c>
      <c r="I421" s="3">
        <v>0.12</v>
      </c>
      <c r="J421" s="4">
        <v>6</v>
      </c>
      <c r="K421" s="4">
        <v>10</v>
      </c>
      <c r="L421" s="4">
        <v>2841060</v>
      </c>
      <c r="M421" s="5">
        <v>1.2114413909141896E-2</v>
      </c>
      <c r="N421" s="5">
        <v>1</v>
      </c>
      <c r="O421" s="5">
        <v>9.2592592592592587E-2</v>
      </c>
      <c r="P421">
        <v>-5</v>
      </c>
      <c r="Q421" s="1">
        <v>-0.33333333333333331</v>
      </c>
      <c r="R421">
        <v>-1388000</v>
      </c>
      <c r="S421" s="1">
        <v>-0.32820532222290533</v>
      </c>
    </row>
    <row r="422" spans="1:19" x14ac:dyDescent="0.45">
      <c r="A422" t="s">
        <v>54</v>
      </c>
      <c r="B422" t="s">
        <v>54</v>
      </c>
      <c r="C422" t="s">
        <v>495</v>
      </c>
      <c r="D422" s="2">
        <v>6</v>
      </c>
      <c r="E422" s="2">
        <v>8</v>
      </c>
      <c r="F422" s="2">
        <v>1924750</v>
      </c>
      <c r="G422" s="3">
        <v>1.0588733587462939E-2</v>
      </c>
      <c r="H422" s="3">
        <v>1</v>
      </c>
      <c r="I422" s="3">
        <v>6.4000000000000001E-2</v>
      </c>
      <c r="J422" s="4">
        <v>5</v>
      </c>
      <c r="K422" s="4">
        <v>5</v>
      </c>
      <c r="L422" s="4">
        <v>1178120</v>
      </c>
      <c r="M422" s="5">
        <v>1.2114413909141896E-2</v>
      </c>
      <c r="N422" s="5">
        <v>1</v>
      </c>
      <c r="O422" s="5">
        <v>4.6296296296296294E-2</v>
      </c>
      <c r="P422">
        <v>-3</v>
      </c>
      <c r="Q422" s="1">
        <v>-0.375</v>
      </c>
      <c r="R422">
        <v>-746630</v>
      </c>
      <c r="S422" s="1">
        <v>-0.38791011819716847</v>
      </c>
    </row>
    <row r="423" spans="1:19" x14ac:dyDescent="0.45">
      <c r="A423" t="s">
        <v>54</v>
      </c>
      <c r="B423" t="s">
        <v>54</v>
      </c>
      <c r="C423" t="s">
        <v>496</v>
      </c>
      <c r="D423" s="2">
        <v>11</v>
      </c>
      <c r="E423" s="2">
        <v>17</v>
      </c>
      <c r="F423" s="2">
        <v>4582720</v>
      </c>
      <c r="G423" s="3">
        <v>1.0588733587462939E-2</v>
      </c>
      <c r="H423" s="3">
        <v>1</v>
      </c>
      <c r="I423" s="3">
        <v>0.13600000000000001</v>
      </c>
      <c r="J423" s="4">
        <v>9</v>
      </c>
      <c r="K423" s="4">
        <v>13</v>
      </c>
      <c r="L423" s="4">
        <v>3461740</v>
      </c>
      <c r="M423" s="5">
        <v>1.2114413909141896E-2</v>
      </c>
      <c r="N423" s="5">
        <v>1</v>
      </c>
      <c r="O423" s="5">
        <v>0.12037037037037036</v>
      </c>
      <c r="P423">
        <v>-4</v>
      </c>
      <c r="Q423" s="1">
        <v>-0.23529411764705882</v>
      </c>
      <c r="R423">
        <v>-1120980</v>
      </c>
      <c r="S423" s="1">
        <v>-0.24461018783604496</v>
      </c>
    </row>
    <row r="424" spans="1:19" x14ac:dyDescent="0.45">
      <c r="A424" t="s">
        <v>54</v>
      </c>
      <c r="B424" t="s">
        <v>54</v>
      </c>
      <c r="C424" t="s">
        <v>497</v>
      </c>
      <c r="D424" s="2">
        <v>18</v>
      </c>
      <c r="E424" s="2">
        <v>22</v>
      </c>
      <c r="F424" s="2">
        <v>4952260</v>
      </c>
      <c r="G424" s="3">
        <v>1.0588733587462939E-2</v>
      </c>
      <c r="H424" s="3">
        <v>1</v>
      </c>
      <c r="I424" s="3">
        <v>0.17599999999999999</v>
      </c>
      <c r="J424" s="4">
        <v>7</v>
      </c>
      <c r="K424" s="4">
        <v>10</v>
      </c>
      <c r="L424" s="4">
        <v>2288880</v>
      </c>
      <c r="M424" s="5">
        <v>1.2114413909141896E-2</v>
      </c>
      <c r="N424" s="5">
        <v>1</v>
      </c>
      <c r="O424" s="5">
        <v>9.2592592592592587E-2</v>
      </c>
      <c r="P424">
        <v>-12</v>
      </c>
      <c r="Q424" s="1">
        <v>-0.54545454545454541</v>
      </c>
      <c r="R424">
        <v>-2663380</v>
      </c>
      <c r="S424" s="1">
        <v>-0.53781101961528677</v>
      </c>
    </row>
    <row r="425" spans="1:19" x14ac:dyDescent="0.45">
      <c r="A425" t="s">
        <v>54</v>
      </c>
      <c r="B425" t="s">
        <v>54</v>
      </c>
      <c r="C425" t="s">
        <v>498</v>
      </c>
      <c r="D425" s="2">
        <v>3</v>
      </c>
      <c r="E425" s="2">
        <v>4</v>
      </c>
      <c r="F425" s="2">
        <v>1368940</v>
      </c>
      <c r="G425" s="3">
        <v>1.0588733587462939E-2</v>
      </c>
      <c r="H425" s="3">
        <v>1</v>
      </c>
      <c r="I425" s="3">
        <v>3.2000000000000001E-2</v>
      </c>
      <c r="J425" s="4">
        <v>1</v>
      </c>
      <c r="K425" s="4">
        <v>1</v>
      </c>
      <c r="L425" s="4">
        <v>383140</v>
      </c>
      <c r="M425" s="5">
        <v>1.2114413909141896E-2</v>
      </c>
      <c r="N425" s="5">
        <v>1</v>
      </c>
      <c r="O425" s="5">
        <v>9.2592592592592587E-3</v>
      </c>
      <c r="P425">
        <v>-3</v>
      </c>
      <c r="Q425" s="1">
        <v>-0.75</v>
      </c>
      <c r="R425">
        <v>-985800</v>
      </c>
      <c r="S425" s="1">
        <v>-0.72011921632796183</v>
      </c>
    </row>
    <row r="426" spans="1:19" x14ac:dyDescent="0.45">
      <c r="A426" t="s">
        <v>54</v>
      </c>
      <c r="B426" t="s">
        <v>54</v>
      </c>
      <c r="C426" t="s">
        <v>499</v>
      </c>
      <c r="D426" s="2">
        <v>2</v>
      </c>
      <c r="E426" s="2">
        <v>3</v>
      </c>
      <c r="F426" s="2">
        <v>965430</v>
      </c>
      <c r="G426" s="3">
        <v>1.0588733587462939E-2</v>
      </c>
      <c r="H426" s="3">
        <v>1</v>
      </c>
      <c r="I426" s="3">
        <v>2.4E-2</v>
      </c>
      <c r="J426" s="4">
        <v>0</v>
      </c>
      <c r="K426" s="4">
        <v>0</v>
      </c>
      <c r="L426" s="4">
        <v>0</v>
      </c>
      <c r="M426" s="5">
        <v>1.2114413909141896E-2</v>
      </c>
      <c r="N426" s="5">
        <v>1</v>
      </c>
      <c r="O426" s="5">
        <v>0</v>
      </c>
      <c r="P426">
        <v>-3</v>
      </c>
      <c r="Q426" s="1">
        <v>-1</v>
      </c>
      <c r="R426">
        <v>-965430</v>
      </c>
      <c r="S426" s="1">
        <v>-1</v>
      </c>
    </row>
    <row r="427" spans="1:19" x14ac:dyDescent="0.45">
      <c r="A427" t="s">
        <v>54</v>
      </c>
      <c r="B427" t="s">
        <v>54</v>
      </c>
      <c r="C427" t="s">
        <v>500</v>
      </c>
      <c r="D427" s="2">
        <v>5</v>
      </c>
      <c r="E427" s="2">
        <v>5</v>
      </c>
      <c r="F427" s="2">
        <v>1811770</v>
      </c>
      <c r="G427" s="3">
        <v>1.0588733587462939E-2</v>
      </c>
      <c r="H427" s="3">
        <v>1</v>
      </c>
      <c r="I427" s="3">
        <v>0.04</v>
      </c>
      <c r="J427" s="4">
        <v>5</v>
      </c>
      <c r="K427" s="4">
        <v>5</v>
      </c>
      <c r="L427" s="4">
        <v>1763390</v>
      </c>
      <c r="M427" s="5">
        <v>1.2114413909141896E-2</v>
      </c>
      <c r="N427" s="5">
        <v>1</v>
      </c>
      <c r="O427" s="5">
        <v>4.6296296296296294E-2</v>
      </c>
      <c r="P427">
        <v>0</v>
      </c>
      <c r="Q427" s="1">
        <v>0</v>
      </c>
      <c r="R427">
        <v>-48380</v>
      </c>
      <c r="S427" s="1">
        <v>-2.6703168724506975E-2</v>
      </c>
    </row>
    <row r="428" spans="1:19" x14ac:dyDescent="0.45">
      <c r="A428" t="s">
        <v>54</v>
      </c>
      <c r="B428" t="s">
        <v>54</v>
      </c>
      <c r="C428" t="s">
        <v>501</v>
      </c>
      <c r="D428" s="2">
        <v>2</v>
      </c>
      <c r="E428" s="2">
        <v>2</v>
      </c>
      <c r="F428" s="2">
        <v>589080</v>
      </c>
      <c r="G428" s="3">
        <v>1.0588733587462939E-2</v>
      </c>
      <c r="H428" s="3">
        <v>1</v>
      </c>
      <c r="I428" s="3">
        <v>1.6E-2</v>
      </c>
      <c r="J428" s="4">
        <v>0</v>
      </c>
      <c r="K428" s="4">
        <v>0</v>
      </c>
      <c r="L428" s="4">
        <v>0</v>
      </c>
      <c r="M428" s="5">
        <v>1.2114413909141896E-2</v>
      </c>
      <c r="N428" s="5">
        <v>1</v>
      </c>
      <c r="O428" s="5">
        <v>0</v>
      </c>
      <c r="P428">
        <v>-2</v>
      </c>
      <c r="Q428" s="1">
        <v>-1</v>
      </c>
      <c r="R428">
        <v>-589080</v>
      </c>
      <c r="S428" s="1">
        <v>-1</v>
      </c>
    </row>
    <row r="429" spans="1:19" x14ac:dyDescent="0.45">
      <c r="A429" t="s">
        <v>54</v>
      </c>
      <c r="B429" t="s">
        <v>54</v>
      </c>
      <c r="C429" t="s">
        <v>502</v>
      </c>
      <c r="D429" s="2">
        <v>3</v>
      </c>
      <c r="E429" s="2">
        <v>9</v>
      </c>
      <c r="F429" s="2">
        <v>3689910</v>
      </c>
      <c r="G429" s="3">
        <v>1.0588733587462939E-2</v>
      </c>
      <c r="H429" s="3">
        <v>1</v>
      </c>
      <c r="I429" s="3">
        <v>7.1999999999999995E-2</v>
      </c>
      <c r="J429" s="4">
        <v>4</v>
      </c>
      <c r="K429" s="4">
        <v>4</v>
      </c>
      <c r="L429" s="4">
        <v>1680510</v>
      </c>
      <c r="M429" s="5">
        <v>1.2114413909141896E-2</v>
      </c>
      <c r="N429" s="5">
        <v>1</v>
      </c>
      <c r="O429" s="5">
        <v>3.7037037037037035E-2</v>
      </c>
      <c r="P429">
        <v>-5</v>
      </c>
      <c r="Q429" s="1">
        <v>-0.55555555555555558</v>
      </c>
      <c r="R429">
        <v>-2009400</v>
      </c>
      <c r="S429" s="1">
        <v>-0.54456612762912915</v>
      </c>
    </row>
    <row r="430" spans="1:19" x14ac:dyDescent="0.45">
      <c r="A430" t="s">
        <v>54</v>
      </c>
      <c r="B430" t="s">
        <v>54</v>
      </c>
      <c r="C430" t="s">
        <v>503</v>
      </c>
      <c r="D430" s="2">
        <v>6</v>
      </c>
      <c r="E430" s="2">
        <v>8</v>
      </c>
      <c r="F430" s="2">
        <v>2850440</v>
      </c>
      <c r="G430" s="3">
        <v>1.0588733587462939E-2</v>
      </c>
      <c r="H430" s="3">
        <v>1</v>
      </c>
      <c r="I430" s="3">
        <v>6.4000000000000001E-2</v>
      </c>
      <c r="J430" s="4">
        <v>5</v>
      </c>
      <c r="K430" s="4">
        <v>9</v>
      </c>
      <c r="L430" s="4">
        <v>3384820</v>
      </c>
      <c r="M430" s="5">
        <v>1.2114413909141896E-2</v>
      </c>
      <c r="N430" s="5">
        <v>1</v>
      </c>
      <c r="O430" s="5">
        <v>8.3333333333333329E-2</v>
      </c>
      <c r="P430">
        <v>1</v>
      </c>
      <c r="Q430" s="1">
        <v>0.125</v>
      </c>
      <c r="R430">
        <v>534380</v>
      </c>
      <c r="S430" s="1">
        <v>0.18747281121511064</v>
      </c>
    </row>
    <row r="431" spans="1:19" x14ac:dyDescent="0.45">
      <c r="A431" t="s">
        <v>54</v>
      </c>
      <c r="B431" t="s">
        <v>54</v>
      </c>
      <c r="C431" t="s">
        <v>504</v>
      </c>
      <c r="D431" s="2">
        <v>10</v>
      </c>
      <c r="E431" s="2">
        <v>13</v>
      </c>
      <c r="F431" s="2">
        <v>5173060</v>
      </c>
      <c r="G431" s="3">
        <v>1.0588733587462939E-2</v>
      </c>
      <c r="H431" s="3">
        <v>1</v>
      </c>
      <c r="I431" s="3">
        <v>0.104</v>
      </c>
      <c r="J431" s="4">
        <v>23</v>
      </c>
      <c r="K431" s="4">
        <v>35</v>
      </c>
      <c r="L431" s="4">
        <v>14066130</v>
      </c>
      <c r="M431" s="5">
        <v>1.2114413909141896E-2</v>
      </c>
      <c r="N431" s="5">
        <v>1</v>
      </c>
      <c r="O431" s="5">
        <v>0.32407407407407407</v>
      </c>
      <c r="P431">
        <v>22</v>
      </c>
      <c r="Q431" s="1">
        <v>1.6923076923076923</v>
      </c>
      <c r="R431">
        <v>8893070</v>
      </c>
      <c r="S431" s="1">
        <v>1.7191120922626066</v>
      </c>
    </row>
    <row r="432" spans="1:19" x14ac:dyDescent="0.45">
      <c r="A432" t="s">
        <v>54</v>
      </c>
      <c r="B432" t="s">
        <v>54</v>
      </c>
      <c r="C432" t="s">
        <v>505</v>
      </c>
      <c r="D432" s="2">
        <v>15</v>
      </c>
      <c r="E432" s="2">
        <v>19</v>
      </c>
      <c r="F432" s="2">
        <v>6149840</v>
      </c>
      <c r="G432" s="3">
        <v>1.0588733587462939E-2</v>
      </c>
      <c r="H432" s="3">
        <v>1</v>
      </c>
      <c r="I432" s="3">
        <v>0.152</v>
      </c>
      <c r="J432" s="4">
        <v>11</v>
      </c>
      <c r="K432" s="4">
        <v>16</v>
      </c>
      <c r="L432" s="4">
        <v>5478850</v>
      </c>
      <c r="M432" s="5">
        <v>1.2114413909141896E-2</v>
      </c>
      <c r="N432" s="5">
        <v>1</v>
      </c>
      <c r="O432" s="5">
        <v>0.14814814814814814</v>
      </c>
      <c r="P432">
        <v>-3</v>
      </c>
      <c r="Q432" s="1">
        <v>-0.15789473684210525</v>
      </c>
      <c r="R432">
        <v>-670990</v>
      </c>
      <c r="S432" s="1">
        <v>-0.10910690359423986</v>
      </c>
    </row>
    <row r="433" spans="1:19" x14ac:dyDescent="0.45">
      <c r="A433" t="s">
        <v>55</v>
      </c>
      <c r="B433" t="s">
        <v>56</v>
      </c>
      <c r="C433" t="s">
        <v>506</v>
      </c>
      <c r="D433" s="2">
        <v>1</v>
      </c>
      <c r="E433" s="2">
        <v>1</v>
      </c>
      <c r="F433" s="2">
        <v>228630</v>
      </c>
      <c r="G433" s="3">
        <v>8.6404066073697584E-3</v>
      </c>
      <c r="H433" s="3">
        <v>0.31372549019607843</v>
      </c>
      <c r="I433" s="3">
        <v>3.125E-2</v>
      </c>
      <c r="J433" s="4">
        <v>1</v>
      </c>
      <c r="K433" s="4">
        <v>1</v>
      </c>
      <c r="L433" s="4">
        <v>217200</v>
      </c>
      <c r="M433" s="5">
        <v>8.3006169377453729E-3</v>
      </c>
      <c r="N433" s="5">
        <v>0.21621621621621623</v>
      </c>
      <c r="O433" s="5">
        <v>6.25E-2</v>
      </c>
      <c r="P433">
        <v>0</v>
      </c>
      <c r="Q433" s="1">
        <v>0</v>
      </c>
      <c r="R433">
        <v>-11430</v>
      </c>
      <c r="S433" s="1">
        <v>-4.9993439181209812E-2</v>
      </c>
    </row>
    <row r="434" spans="1:19" x14ac:dyDescent="0.45">
      <c r="A434" t="s">
        <v>55</v>
      </c>
      <c r="B434" t="s">
        <v>56</v>
      </c>
      <c r="C434" t="s">
        <v>507</v>
      </c>
      <c r="D434" s="2">
        <v>1</v>
      </c>
      <c r="E434" s="2">
        <v>1</v>
      </c>
      <c r="F434" s="2">
        <v>320850</v>
      </c>
      <c r="G434" s="3">
        <v>8.6404066073697584E-3</v>
      </c>
      <c r="H434" s="3">
        <v>0.31372549019607843</v>
      </c>
      <c r="I434" s="3">
        <v>3.125E-2</v>
      </c>
      <c r="J434" s="4">
        <v>0</v>
      </c>
      <c r="K434" s="4">
        <v>0</v>
      </c>
      <c r="L434" s="4">
        <v>0</v>
      </c>
      <c r="M434" s="5">
        <v>8.3006169377453729E-3</v>
      </c>
      <c r="N434" s="5">
        <v>0.21621621621621623</v>
      </c>
      <c r="O434" s="5">
        <v>0</v>
      </c>
      <c r="P434">
        <v>-1</v>
      </c>
      <c r="Q434" s="1">
        <v>-1</v>
      </c>
      <c r="R434">
        <v>-320850</v>
      </c>
      <c r="S434" s="1">
        <v>-1</v>
      </c>
    </row>
    <row r="435" spans="1:19" x14ac:dyDescent="0.45">
      <c r="A435" t="s">
        <v>55</v>
      </c>
      <c r="B435" t="s">
        <v>56</v>
      </c>
      <c r="C435" t="s">
        <v>508</v>
      </c>
      <c r="D435" s="2">
        <v>1</v>
      </c>
      <c r="E435" s="2">
        <v>1</v>
      </c>
      <c r="F435" s="2">
        <v>304800</v>
      </c>
      <c r="G435" s="3">
        <v>8.6404066073697584E-3</v>
      </c>
      <c r="H435" s="3">
        <v>0.31372549019607843</v>
      </c>
      <c r="I435" s="3">
        <v>3.125E-2</v>
      </c>
      <c r="J435" s="4">
        <v>0</v>
      </c>
      <c r="K435" s="4">
        <v>0</v>
      </c>
      <c r="L435" s="4">
        <v>0</v>
      </c>
      <c r="M435" s="5">
        <v>8.3006169377453729E-3</v>
      </c>
      <c r="N435" s="5">
        <v>0.21621621621621623</v>
      </c>
      <c r="O435" s="5">
        <v>0</v>
      </c>
      <c r="P435">
        <v>-1</v>
      </c>
      <c r="Q435" s="1">
        <v>-1</v>
      </c>
      <c r="R435">
        <v>-304800</v>
      </c>
      <c r="S435" s="1">
        <v>-1</v>
      </c>
    </row>
    <row r="436" spans="1:19" x14ac:dyDescent="0.45">
      <c r="A436" t="s">
        <v>55</v>
      </c>
      <c r="B436" t="s">
        <v>56</v>
      </c>
      <c r="C436" t="s">
        <v>509</v>
      </c>
      <c r="D436" s="2">
        <v>8</v>
      </c>
      <c r="E436" s="2">
        <v>8</v>
      </c>
      <c r="F436" s="2">
        <v>2562250</v>
      </c>
      <c r="G436" s="3">
        <v>8.6404066073697584E-3</v>
      </c>
      <c r="H436" s="3">
        <v>0.31372549019607843</v>
      </c>
      <c r="I436" s="3">
        <v>0.25</v>
      </c>
      <c r="J436" s="4">
        <v>7</v>
      </c>
      <c r="K436" s="4">
        <v>7</v>
      </c>
      <c r="L436" s="4">
        <v>2217100</v>
      </c>
      <c r="M436" s="5">
        <v>8.3006169377453729E-3</v>
      </c>
      <c r="N436" s="5">
        <v>0.21621621621621623</v>
      </c>
      <c r="O436" s="5">
        <v>0.4375</v>
      </c>
      <c r="P436">
        <v>-1</v>
      </c>
      <c r="Q436" s="1">
        <v>-0.125</v>
      </c>
      <c r="R436">
        <v>-345150</v>
      </c>
      <c r="S436" s="1">
        <v>-0.13470582495853253</v>
      </c>
    </row>
    <row r="437" spans="1:19" x14ac:dyDescent="0.45">
      <c r="A437" t="s">
        <v>55</v>
      </c>
      <c r="B437" t="s">
        <v>56</v>
      </c>
      <c r="C437" t="s">
        <v>510</v>
      </c>
      <c r="D437" s="2">
        <v>0</v>
      </c>
      <c r="E437" s="2">
        <v>0</v>
      </c>
      <c r="F437" s="2">
        <v>-32260</v>
      </c>
      <c r="G437" s="3">
        <v>8.6404066073697584E-3</v>
      </c>
      <c r="H437" s="3">
        <v>0.31372549019607843</v>
      </c>
      <c r="I437" s="3">
        <v>0</v>
      </c>
      <c r="J437" s="4">
        <v>0</v>
      </c>
      <c r="K437" s="4">
        <v>0</v>
      </c>
      <c r="L437" s="4">
        <v>0</v>
      </c>
      <c r="M437" s="5">
        <v>8.3006169377453729E-3</v>
      </c>
      <c r="N437" s="5">
        <v>0.21621621621621623</v>
      </c>
      <c r="O437" s="5">
        <v>0</v>
      </c>
      <c r="P437">
        <v>0</v>
      </c>
      <c r="Q437" s="1">
        <v>0</v>
      </c>
      <c r="R437">
        <v>32260</v>
      </c>
      <c r="S437" s="1">
        <v>-1</v>
      </c>
    </row>
    <row r="438" spans="1:19" x14ac:dyDescent="0.45">
      <c r="A438" t="s">
        <v>55</v>
      </c>
      <c r="B438" t="s">
        <v>56</v>
      </c>
      <c r="C438" t="s">
        <v>511</v>
      </c>
      <c r="D438" s="2">
        <v>1</v>
      </c>
      <c r="E438" s="2">
        <v>1</v>
      </c>
      <c r="F438" s="2">
        <v>285140</v>
      </c>
      <c r="G438" s="3">
        <v>8.6404066073697584E-3</v>
      </c>
      <c r="H438" s="3">
        <v>0.31372549019607843</v>
      </c>
      <c r="I438" s="3">
        <v>3.125E-2</v>
      </c>
      <c r="J438" s="4">
        <v>0</v>
      </c>
      <c r="K438" s="4">
        <v>0</v>
      </c>
      <c r="L438" s="4">
        <v>0</v>
      </c>
      <c r="M438" s="5">
        <v>8.3006169377453729E-3</v>
      </c>
      <c r="N438" s="5">
        <v>0.21621621621621623</v>
      </c>
      <c r="O438" s="5">
        <v>0</v>
      </c>
      <c r="P438">
        <v>-1</v>
      </c>
      <c r="Q438" s="1">
        <v>-1</v>
      </c>
      <c r="R438">
        <v>-285140</v>
      </c>
      <c r="S438" s="1">
        <v>-1</v>
      </c>
    </row>
    <row r="439" spans="1:19" x14ac:dyDescent="0.45">
      <c r="A439" t="s">
        <v>55</v>
      </c>
      <c r="B439" t="s">
        <v>56</v>
      </c>
      <c r="C439" t="s">
        <v>512</v>
      </c>
      <c r="D439" s="2">
        <v>1</v>
      </c>
      <c r="E439" s="2">
        <v>1</v>
      </c>
      <c r="F439" s="2">
        <v>309430</v>
      </c>
      <c r="G439" s="3">
        <v>8.6404066073697584E-3</v>
      </c>
      <c r="H439" s="3">
        <v>0.31372549019607843</v>
      </c>
      <c r="I439" s="3">
        <v>3.125E-2</v>
      </c>
      <c r="J439" s="4">
        <v>0</v>
      </c>
      <c r="K439" s="4">
        <v>0</v>
      </c>
      <c r="L439" s="4">
        <v>0</v>
      </c>
      <c r="M439" s="5">
        <v>8.3006169377453729E-3</v>
      </c>
      <c r="N439" s="5">
        <v>0.21621621621621623</v>
      </c>
      <c r="O439" s="5">
        <v>0</v>
      </c>
      <c r="P439">
        <v>-1</v>
      </c>
      <c r="Q439" s="1">
        <v>-1</v>
      </c>
      <c r="R439">
        <v>-309430</v>
      </c>
      <c r="S439" s="1">
        <v>-1</v>
      </c>
    </row>
    <row r="440" spans="1:19" x14ac:dyDescent="0.45">
      <c r="A440" t="s">
        <v>55</v>
      </c>
      <c r="B440" t="s">
        <v>56</v>
      </c>
      <c r="C440" t="s">
        <v>513</v>
      </c>
      <c r="D440" s="2">
        <v>3</v>
      </c>
      <c r="E440" s="2">
        <v>3</v>
      </c>
      <c r="F440" s="2">
        <v>889410</v>
      </c>
      <c r="G440" s="3">
        <v>8.6404066073697584E-3</v>
      </c>
      <c r="H440" s="3">
        <v>0.31372549019607843</v>
      </c>
      <c r="I440" s="3">
        <v>9.375E-2</v>
      </c>
      <c r="J440" s="4">
        <v>2</v>
      </c>
      <c r="K440" s="4">
        <v>2</v>
      </c>
      <c r="L440" s="4">
        <v>618200</v>
      </c>
      <c r="M440" s="5">
        <v>8.3006169377453729E-3</v>
      </c>
      <c r="N440" s="5">
        <v>0.21621621621621623</v>
      </c>
      <c r="O440" s="5">
        <v>0.125</v>
      </c>
      <c r="P440">
        <v>-1</v>
      </c>
      <c r="Q440" s="1">
        <v>-0.33333333333333331</v>
      </c>
      <c r="R440">
        <v>-271210</v>
      </c>
      <c r="S440" s="1">
        <v>-0.3049324833316468</v>
      </c>
    </row>
    <row r="441" spans="1:19" x14ac:dyDescent="0.45">
      <c r="A441" t="s">
        <v>55</v>
      </c>
      <c r="B441" t="s">
        <v>56</v>
      </c>
      <c r="C441" t="s">
        <v>514</v>
      </c>
      <c r="D441" s="2">
        <v>2</v>
      </c>
      <c r="E441" s="2">
        <v>2</v>
      </c>
      <c r="F441" s="2">
        <v>799800</v>
      </c>
      <c r="G441" s="3">
        <v>8.6404066073697584E-3</v>
      </c>
      <c r="H441" s="3">
        <v>0.31372549019607843</v>
      </c>
      <c r="I441" s="3">
        <v>6.25E-2</v>
      </c>
      <c r="J441" s="4">
        <v>2</v>
      </c>
      <c r="K441" s="4">
        <v>2</v>
      </c>
      <c r="L441" s="4">
        <v>824880</v>
      </c>
      <c r="M441" s="5">
        <v>8.3006169377453729E-3</v>
      </c>
      <c r="N441" s="5">
        <v>0.21621621621621623</v>
      </c>
      <c r="O441" s="5">
        <v>0.125</v>
      </c>
      <c r="P441">
        <v>0</v>
      </c>
      <c r="Q441" s="1">
        <v>0</v>
      </c>
      <c r="R441">
        <v>25080</v>
      </c>
      <c r="S441" s="1">
        <v>3.1357839459864964E-2</v>
      </c>
    </row>
    <row r="442" spans="1:19" x14ac:dyDescent="0.45">
      <c r="A442" t="s">
        <v>55</v>
      </c>
      <c r="B442" t="s">
        <v>56</v>
      </c>
      <c r="C442" t="s">
        <v>515</v>
      </c>
      <c r="D442" s="2">
        <v>3</v>
      </c>
      <c r="E442" s="2">
        <v>3</v>
      </c>
      <c r="F442" s="2">
        <v>1165520</v>
      </c>
      <c r="G442" s="3">
        <v>8.6404066073697584E-3</v>
      </c>
      <c r="H442" s="3">
        <v>0.31372549019607843</v>
      </c>
      <c r="I442" s="3">
        <v>9.375E-2</v>
      </c>
      <c r="J442" s="4">
        <v>0</v>
      </c>
      <c r="K442" s="4">
        <v>0</v>
      </c>
      <c r="L442" s="4">
        <v>0</v>
      </c>
      <c r="M442" s="5">
        <v>8.3006169377453729E-3</v>
      </c>
      <c r="N442" s="5">
        <v>0.21621621621621623</v>
      </c>
      <c r="O442" s="5">
        <v>0</v>
      </c>
      <c r="P442">
        <v>-3</v>
      </c>
      <c r="Q442" s="1">
        <v>-1</v>
      </c>
      <c r="R442">
        <v>-1165520</v>
      </c>
      <c r="S442" s="1">
        <v>-1</v>
      </c>
    </row>
    <row r="443" spans="1:19" x14ac:dyDescent="0.45">
      <c r="A443" t="s">
        <v>55</v>
      </c>
      <c r="B443" t="s">
        <v>56</v>
      </c>
      <c r="C443" t="s">
        <v>516</v>
      </c>
      <c r="D443" s="2">
        <v>11</v>
      </c>
      <c r="E443" s="2">
        <v>11</v>
      </c>
      <c r="F443" s="2">
        <v>4200990</v>
      </c>
      <c r="G443" s="3">
        <v>8.6404066073697584E-3</v>
      </c>
      <c r="H443" s="3">
        <v>0.31372549019607843</v>
      </c>
      <c r="I443" s="3">
        <v>0.34375</v>
      </c>
      <c r="J443" s="4">
        <v>4</v>
      </c>
      <c r="K443" s="4">
        <v>4</v>
      </c>
      <c r="L443" s="4">
        <v>1563080</v>
      </c>
      <c r="M443" s="5">
        <v>8.3006169377453729E-3</v>
      </c>
      <c r="N443" s="5">
        <v>0.21621621621621623</v>
      </c>
      <c r="O443" s="5">
        <v>0.25</v>
      </c>
      <c r="P443">
        <v>-7</v>
      </c>
      <c r="Q443" s="1">
        <v>-0.63636363636363635</v>
      </c>
      <c r="R443">
        <v>-2637910</v>
      </c>
      <c r="S443" s="1">
        <v>-0.62792579844274798</v>
      </c>
    </row>
    <row r="444" spans="1:19" x14ac:dyDescent="0.45">
      <c r="A444" t="s">
        <v>55</v>
      </c>
      <c r="B444" t="s">
        <v>57</v>
      </c>
      <c r="C444" t="s">
        <v>517</v>
      </c>
      <c r="D444" s="2">
        <v>0</v>
      </c>
      <c r="E444" s="2">
        <v>0</v>
      </c>
      <c r="F444" s="2">
        <v>0</v>
      </c>
      <c r="G444" s="3">
        <v>8.6404066073697584E-3</v>
      </c>
      <c r="H444" s="3">
        <v>0</v>
      </c>
      <c r="I444" s="3">
        <v>0</v>
      </c>
      <c r="J444" s="4">
        <v>3</v>
      </c>
      <c r="K444" s="4">
        <v>3</v>
      </c>
      <c r="L444" s="4">
        <v>453780</v>
      </c>
      <c r="M444" s="5">
        <v>8.3006169377453729E-3</v>
      </c>
      <c r="N444" s="5">
        <v>4.0540540540540543E-2</v>
      </c>
      <c r="O444" s="5">
        <v>1</v>
      </c>
      <c r="P444">
        <v>3</v>
      </c>
      <c r="Q444" s="1">
        <v>1</v>
      </c>
      <c r="R444">
        <v>453780</v>
      </c>
      <c r="S444" s="1">
        <v>1</v>
      </c>
    </row>
    <row r="445" spans="1:19" x14ac:dyDescent="0.45">
      <c r="A445" t="s">
        <v>55</v>
      </c>
      <c r="B445" t="s">
        <v>58</v>
      </c>
      <c r="C445" t="s">
        <v>518</v>
      </c>
      <c r="D445" s="2">
        <v>1</v>
      </c>
      <c r="E445" s="2">
        <v>1</v>
      </c>
      <c r="F445" s="2">
        <v>129000</v>
      </c>
      <c r="G445" s="3">
        <v>8.6404066073697584E-3</v>
      </c>
      <c r="H445" s="3">
        <v>9.8039215686274508E-3</v>
      </c>
      <c r="I445" s="3">
        <v>1</v>
      </c>
      <c r="J445" s="4">
        <v>1</v>
      </c>
      <c r="K445" s="4">
        <v>1</v>
      </c>
      <c r="L445" s="4">
        <v>125130</v>
      </c>
      <c r="M445" s="5">
        <v>8.3006169377453729E-3</v>
      </c>
      <c r="N445" s="5">
        <v>1.3513513513513514E-2</v>
      </c>
      <c r="O445" s="5">
        <v>1</v>
      </c>
      <c r="P445">
        <v>0</v>
      </c>
      <c r="Q445" s="1">
        <v>0</v>
      </c>
      <c r="R445">
        <v>-3870</v>
      </c>
      <c r="S445" s="1">
        <v>-0.03</v>
      </c>
    </row>
    <row r="446" spans="1:19" x14ac:dyDescent="0.45">
      <c r="A446" t="s">
        <v>55</v>
      </c>
      <c r="B446" t="s">
        <v>59</v>
      </c>
      <c r="C446" t="s">
        <v>519</v>
      </c>
      <c r="D446" s="2">
        <v>0</v>
      </c>
      <c r="E446" s="2">
        <v>0</v>
      </c>
      <c r="F446" s="2">
        <v>0</v>
      </c>
      <c r="G446" s="3">
        <v>8.6404066073697584E-3</v>
      </c>
      <c r="H446" s="3">
        <v>9.8039215686274508E-3</v>
      </c>
      <c r="I446" s="3">
        <v>0</v>
      </c>
      <c r="J446" s="4">
        <v>1</v>
      </c>
      <c r="K446" s="4">
        <v>1</v>
      </c>
      <c r="L446" s="4">
        <v>628550</v>
      </c>
      <c r="M446" s="5">
        <v>8.3006169377453729E-3</v>
      </c>
      <c r="N446" s="5">
        <v>5.4054054054054057E-2</v>
      </c>
      <c r="O446" s="5">
        <v>0.25</v>
      </c>
      <c r="P446">
        <v>1</v>
      </c>
      <c r="Q446" s="1">
        <v>1</v>
      </c>
      <c r="R446">
        <v>628550</v>
      </c>
      <c r="S446" s="1">
        <v>1</v>
      </c>
    </row>
    <row r="447" spans="1:19" x14ac:dyDescent="0.45">
      <c r="A447" t="s">
        <v>55</v>
      </c>
      <c r="B447" t="s">
        <v>59</v>
      </c>
      <c r="C447" t="s">
        <v>520</v>
      </c>
      <c r="D447" s="2">
        <v>0</v>
      </c>
      <c r="E447" s="2">
        <v>0</v>
      </c>
      <c r="F447" s="2">
        <v>0</v>
      </c>
      <c r="G447" s="3">
        <v>8.6404066073697584E-3</v>
      </c>
      <c r="H447" s="3">
        <v>9.8039215686274508E-3</v>
      </c>
      <c r="I447" s="3">
        <v>0</v>
      </c>
      <c r="J447" s="4">
        <v>3</v>
      </c>
      <c r="K447" s="4">
        <v>3</v>
      </c>
      <c r="L447" s="4">
        <v>2213820</v>
      </c>
      <c r="M447" s="5">
        <v>8.3006169377453729E-3</v>
      </c>
      <c r="N447" s="5">
        <v>5.4054054054054057E-2</v>
      </c>
      <c r="O447" s="5">
        <v>0.75</v>
      </c>
      <c r="P447">
        <v>3</v>
      </c>
      <c r="Q447" s="1">
        <v>1</v>
      </c>
      <c r="R447">
        <v>2213820</v>
      </c>
      <c r="S447" s="1">
        <v>1</v>
      </c>
    </row>
    <row r="448" spans="1:19" x14ac:dyDescent="0.45">
      <c r="A448" t="s">
        <v>55</v>
      </c>
      <c r="B448" t="s">
        <v>59</v>
      </c>
      <c r="C448" t="s">
        <v>521</v>
      </c>
      <c r="D448" s="2">
        <v>1</v>
      </c>
      <c r="E448" s="2">
        <v>1</v>
      </c>
      <c r="F448" s="2">
        <v>807290</v>
      </c>
      <c r="G448" s="3">
        <v>8.6404066073697584E-3</v>
      </c>
      <c r="H448" s="3">
        <v>9.8039215686274508E-3</v>
      </c>
      <c r="I448" s="3">
        <v>1</v>
      </c>
      <c r="J448" s="4">
        <v>0</v>
      </c>
      <c r="K448" s="4">
        <v>0</v>
      </c>
      <c r="L448" s="4">
        <v>0</v>
      </c>
      <c r="M448" s="5">
        <v>8.3006169377453729E-3</v>
      </c>
      <c r="N448" s="5">
        <v>5.4054054054054057E-2</v>
      </c>
      <c r="O448" s="5">
        <v>0</v>
      </c>
      <c r="P448">
        <v>-1</v>
      </c>
      <c r="Q448" s="1">
        <v>-1</v>
      </c>
      <c r="R448">
        <v>-807290</v>
      </c>
      <c r="S448" s="1">
        <v>-1</v>
      </c>
    </row>
    <row r="449" spans="1:19" x14ac:dyDescent="0.45">
      <c r="A449" t="s">
        <v>55</v>
      </c>
      <c r="B449" t="s">
        <v>60</v>
      </c>
      <c r="C449" t="s">
        <v>522</v>
      </c>
      <c r="D449" s="2">
        <v>1</v>
      </c>
      <c r="E449" s="2">
        <v>1</v>
      </c>
      <c r="F449" s="2">
        <v>170300</v>
      </c>
      <c r="G449" s="3">
        <v>8.6404066073697584E-3</v>
      </c>
      <c r="H449" s="3">
        <v>9.8039215686274508E-3</v>
      </c>
      <c r="I449" s="3">
        <v>1</v>
      </c>
      <c r="J449" s="4">
        <v>0</v>
      </c>
      <c r="K449" s="4">
        <v>0</v>
      </c>
      <c r="L449" s="4">
        <v>0</v>
      </c>
      <c r="M449" s="5">
        <v>8.3006169377453729E-3</v>
      </c>
      <c r="N449" s="5">
        <v>0</v>
      </c>
      <c r="O449" s="5">
        <v>0</v>
      </c>
      <c r="P449">
        <v>-1</v>
      </c>
      <c r="Q449" s="1">
        <v>-1</v>
      </c>
      <c r="R449">
        <v>-170300</v>
      </c>
      <c r="S449" s="1">
        <v>-1</v>
      </c>
    </row>
    <row r="450" spans="1:19" x14ac:dyDescent="0.45">
      <c r="A450" t="s">
        <v>55</v>
      </c>
      <c r="B450" t="s">
        <v>61</v>
      </c>
      <c r="C450" t="s">
        <v>523</v>
      </c>
      <c r="D450" s="2">
        <v>2</v>
      </c>
      <c r="E450" s="2">
        <v>3</v>
      </c>
      <c r="F450" s="2">
        <v>385800</v>
      </c>
      <c r="G450" s="3">
        <v>8.6404066073697584E-3</v>
      </c>
      <c r="H450" s="3">
        <v>8.8235294117647065E-2</v>
      </c>
      <c r="I450" s="3">
        <v>0.33333333333333331</v>
      </c>
      <c r="J450" s="4">
        <v>3</v>
      </c>
      <c r="K450" s="4">
        <v>3</v>
      </c>
      <c r="L450" s="4">
        <v>396390</v>
      </c>
      <c r="M450" s="5">
        <v>8.3006169377453729E-3</v>
      </c>
      <c r="N450" s="5">
        <v>0.17567567567567569</v>
      </c>
      <c r="O450" s="5">
        <v>0.23076923076923078</v>
      </c>
      <c r="P450">
        <v>0</v>
      </c>
      <c r="Q450" s="1">
        <v>0</v>
      </c>
      <c r="R450">
        <v>10590</v>
      </c>
      <c r="S450" s="1">
        <v>2.744945567651633E-2</v>
      </c>
    </row>
    <row r="451" spans="1:19" x14ac:dyDescent="0.45">
      <c r="A451" t="s">
        <v>55</v>
      </c>
      <c r="B451" t="s">
        <v>61</v>
      </c>
      <c r="C451" t="s">
        <v>524</v>
      </c>
      <c r="D451" s="2">
        <v>1</v>
      </c>
      <c r="E451" s="2">
        <v>2</v>
      </c>
      <c r="F451" s="2">
        <v>261570</v>
      </c>
      <c r="G451" s="3">
        <v>8.6404066073697584E-3</v>
      </c>
      <c r="H451" s="3">
        <v>8.8235294117647065E-2</v>
      </c>
      <c r="I451" s="3">
        <v>0.22222222222222221</v>
      </c>
      <c r="J451" s="4">
        <v>2</v>
      </c>
      <c r="K451" s="4">
        <v>3</v>
      </c>
      <c r="L451" s="4">
        <v>389650</v>
      </c>
      <c r="M451" s="5">
        <v>8.3006169377453729E-3</v>
      </c>
      <c r="N451" s="5">
        <v>0.17567567567567569</v>
      </c>
      <c r="O451" s="5">
        <v>0.23076923076923078</v>
      </c>
      <c r="P451">
        <v>1</v>
      </c>
      <c r="Q451" s="1">
        <v>0.5</v>
      </c>
      <c r="R451">
        <v>128080</v>
      </c>
      <c r="S451" s="1">
        <v>0.48965859999235384</v>
      </c>
    </row>
    <row r="452" spans="1:19" x14ac:dyDescent="0.45">
      <c r="A452" t="s">
        <v>55</v>
      </c>
      <c r="B452" t="s">
        <v>61</v>
      </c>
      <c r="C452" t="s">
        <v>525</v>
      </c>
      <c r="D452" s="2">
        <v>1</v>
      </c>
      <c r="E452" s="2">
        <v>3</v>
      </c>
      <c r="F452" s="2">
        <v>404490</v>
      </c>
      <c r="G452" s="3">
        <v>8.6404066073697584E-3</v>
      </c>
      <c r="H452" s="3">
        <v>8.8235294117647065E-2</v>
      </c>
      <c r="I452" s="3">
        <v>0.33333333333333331</v>
      </c>
      <c r="J452" s="4">
        <v>1</v>
      </c>
      <c r="K452" s="4">
        <v>1</v>
      </c>
      <c r="L452" s="4">
        <v>130780</v>
      </c>
      <c r="M452" s="5">
        <v>8.3006169377453729E-3</v>
      </c>
      <c r="N452" s="5">
        <v>0.17567567567567569</v>
      </c>
      <c r="O452" s="5">
        <v>7.6923076923076927E-2</v>
      </c>
      <c r="P452">
        <v>-2</v>
      </c>
      <c r="Q452" s="1">
        <v>-0.66666666666666663</v>
      </c>
      <c r="R452">
        <v>-273710</v>
      </c>
      <c r="S452" s="1">
        <v>-0.67667927513659176</v>
      </c>
    </row>
    <row r="453" spans="1:19" x14ac:dyDescent="0.45">
      <c r="A453" t="s">
        <v>55</v>
      </c>
      <c r="B453" t="s">
        <v>61</v>
      </c>
      <c r="C453" t="s">
        <v>526</v>
      </c>
      <c r="D453" s="2">
        <v>0</v>
      </c>
      <c r="E453" s="2">
        <v>0</v>
      </c>
      <c r="F453" s="2">
        <v>-1940</v>
      </c>
      <c r="G453" s="3">
        <v>8.6404066073697584E-3</v>
      </c>
      <c r="H453" s="3">
        <v>8.8235294117647065E-2</v>
      </c>
      <c r="I453" s="3">
        <v>0</v>
      </c>
      <c r="J453" s="4">
        <v>2</v>
      </c>
      <c r="K453" s="4">
        <v>3</v>
      </c>
      <c r="L453" s="4">
        <v>406450</v>
      </c>
      <c r="M453" s="5">
        <v>8.3006169377453729E-3</v>
      </c>
      <c r="N453" s="5">
        <v>0.17567567567567569</v>
      </c>
      <c r="O453" s="5">
        <v>0.23076923076923078</v>
      </c>
      <c r="P453">
        <v>3</v>
      </c>
      <c r="Q453" s="1">
        <v>1</v>
      </c>
      <c r="R453">
        <v>408390</v>
      </c>
      <c r="S453" s="1">
        <v>-210.51030927835052</v>
      </c>
    </row>
    <row r="454" spans="1:19" x14ac:dyDescent="0.45">
      <c r="A454" t="s">
        <v>55</v>
      </c>
      <c r="B454" t="s">
        <v>61</v>
      </c>
      <c r="C454" t="s">
        <v>527</v>
      </c>
      <c r="D454" s="2">
        <v>0</v>
      </c>
      <c r="E454" s="2">
        <v>0</v>
      </c>
      <c r="F454" s="2">
        <v>0</v>
      </c>
      <c r="G454" s="3">
        <v>8.6404066073697584E-3</v>
      </c>
      <c r="H454" s="3">
        <v>8.8235294117647065E-2</v>
      </c>
      <c r="I454" s="3">
        <v>0</v>
      </c>
      <c r="J454" s="4">
        <v>0</v>
      </c>
      <c r="K454" s="4">
        <v>0</v>
      </c>
      <c r="L454" s="4">
        <v>-2870</v>
      </c>
      <c r="M454" s="5">
        <v>8.3006169377453729E-3</v>
      </c>
      <c r="N454" s="5">
        <v>0.17567567567567569</v>
      </c>
      <c r="O454" s="5">
        <v>0</v>
      </c>
      <c r="P454">
        <v>0</v>
      </c>
      <c r="Q454" s="1">
        <v>0</v>
      </c>
      <c r="R454">
        <v>-2870</v>
      </c>
      <c r="S454" s="1">
        <v>0</v>
      </c>
    </row>
    <row r="455" spans="1:19" x14ac:dyDescent="0.45">
      <c r="A455" t="s">
        <v>55</v>
      </c>
      <c r="B455" t="s">
        <v>61</v>
      </c>
      <c r="C455" t="s">
        <v>528</v>
      </c>
      <c r="D455" s="2">
        <v>0</v>
      </c>
      <c r="E455" s="2">
        <v>0</v>
      </c>
      <c r="F455" s="2">
        <v>0</v>
      </c>
      <c r="G455" s="3">
        <v>8.6404066073697584E-3</v>
      </c>
      <c r="H455" s="3">
        <v>8.8235294117647065E-2</v>
      </c>
      <c r="I455" s="3">
        <v>0</v>
      </c>
      <c r="J455" s="4">
        <v>1</v>
      </c>
      <c r="K455" s="4">
        <v>1</v>
      </c>
      <c r="L455" s="4">
        <v>135480</v>
      </c>
      <c r="M455" s="5">
        <v>8.3006169377453729E-3</v>
      </c>
      <c r="N455" s="5">
        <v>0.17567567567567569</v>
      </c>
      <c r="O455" s="5">
        <v>7.6923076923076927E-2</v>
      </c>
      <c r="P455">
        <v>1</v>
      </c>
      <c r="Q455" s="1">
        <v>1</v>
      </c>
      <c r="R455">
        <v>135480</v>
      </c>
      <c r="S455" s="1">
        <v>1</v>
      </c>
    </row>
    <row r="456" spans="1:19" x14ac:dyDescent="0.45">
      <c r="A456" t="s">
        <v>55</v>
      </c>
      <c r="B456" t="s">
        <v>61</v>
      </c>
      <c r="C456" t="s">
        <v>529</v>
      </c>
      <c r="D456" s="2">
        <v>1</v>
      </c>
      <c r="E456" s="2">
        <v>1</v>
      </c>
      <c r="F456" s="2">
        <v>128720</v>
      </c>
      <c r="G456" s="3">
        <v>8.6404066073697584E-3</v>
      </c>
      <c r="H456" s="3">
        <v>8.8235294117647065E-2</v>
      </c>
      <c r="I456" s="3">
        <v>0.1111111111111111</v>
      </c>
      <c r="J456" s="4">
        <v>2</v>
      </c>
      <c r="K456" s="4">
        <v>2</v>
      </c>
      <c r="L456" s="4">
        <v>261560</v>
      </c>
      <c r="M456" s="5">
        <v>8.3006169377453729E-3</v>
      </c>
      <c r="N456" s="5">
        <v>0.17567567567567569</v>
      </c>
      <c r="O456" s="5">
        <v>0.15384615384615385</v>
      </c>
      <c r="P456">
        <v>1</v>
      </c>
      <c r="Q456" s="1">
        <v>1</v>
      </c>
      <c r="R456">
        <v>132840</v>
      </c>
      <c r="S456" s="1">
        <v>1.0320074580484773</v>
      </c>
    </row>
    <row r="457" spans="1:19" x14ac:dyDescent="0.45">
      <c r="A457" t="s">
        <v>55</v>
      </c>
      <c r="B457" t="s">
        <v>62</v>
      </c>
      <c r="C457" t="s">
        <v>530</v>
      </c>
      <c r="D457" s="2">
        <v>6</v>
      </c>
      <c r="E457" s="2">
        <v>6</v>
      </c>
      <c r="F457" s="2">
        <v>1292620</v>
      </c>
      <c r="G457" s="3">
        <v>8.6404066073697584E-3</v>
      </c>
      <c r="H457" s="3">
        <v>0.12745098039215685</v>
      </c>
      <c r="I457" s="3">
        <v>0.46153846153846156</v>
      </c>
      <c r="J457" s="4">
        <v>8</v>
      </c>
      <c r="K457" s="4">
        <v>9</v>
      </c>
      <c r="L457" s="4">
        <v>1994910</v>
      </c>
      <c r="M457" s="5">
        <v>8.3006169377453729E-3</v>
      </c>
      <c r="N457" s="5">
        <v>0.12162162162162163</v>
      </c>
      <c r="O457" s="5">
        <v>1</v>
      </c>
      <c r="P457">
        <v>3</v>
      </c>
      <c r="Q457" s="1">
        <v>0.5</v>
      </c>
      <c r="R457">
        <v>702290</v>
      </c>
      <c r="S457" s="1">
        <v>0.54330739118998628</v>
      </c>
    </row>
    <row r="458" spans="1:19" x14ac:dyDescent="0.45">
      <c r="A458" t="s">
        <v>55</v>
      </c>
      <c r="B458" t="s">
        <v>62</v>
      </c>
      <c r="C458" t="s">
        <v>531</v>
      </c>
      <c r="D458" s="2">
        <v>5</v>
      </c>
      <c r="E458" s="2">
        <v>7</v>
      </c>
      <c r="F458" s="2">
        <v>1216350</v>
      </c>
      <c r="G458" s="3">
        <v>8.6404066073697584E-3</v>
      </c>
      <c r="H458" s="3">
        <v>0.12745098039215685</v>
      </c>
      <c r="I458" s="3">
        <v>0.53846153846153844</v>
      </c>
      <c r="J458" s="4">
        <v>2</v>
      </c>
      <c r="K458" s="4">
        <v>0</v>
      </c>
      <c r="L458" s="4">
        <v>-7960</v>
      </c>
      <c r="M458" s="5">
        <v>8.3006169377453729E-3</v>
      </c>
      <c r="N458" s="5">
        <v>0.12162162162162163</v>
      </c>
      <c r="O458" s="5">
        <v>0</v>
      </c>
      <c r="P458">
        <v>-7</v>
      </c>
      <c r="Q458" s="1">
        <v>-1</v>
      </c>
      <c r="R458">
        <v>-1224310</v>
      </c>
      <c r="S458" s="1">
        <v>-1.0065441690302956</v>
      </c>
    </row>
    <row r="459" spans="1:19" x14ac:dyDescent="0.45">
      <c r="A459" t="s">
        <v>55</v>
      </c>
      <c r="B459" t="s">
        <v>63</v>
      </c>
      <c r="C459" t="s">
        <v>532</v>
      </c>
      <c r="D459" s="2">
        <v>3</v>
      </c>
      <c r="E459" s="2">
        <v>3</v>
      </c>
      <c r="F459" s="2">
        <v>1362300</v>
      </c>
      <c r="G459" s="3">
        <v>8.6404066073697584E-3</v>
      </c>
      <c r="H459" s="3">
        <v>0.17647058823529413</v>
      </c>
      <c r="I459" s="3">
        <v>0.16666666666666666</v>
      </c>
      <c r="J459" s="4">
        <v>3</v>
      </c>
      <c r="K459" s="4">
        <v>3</v>
      </c>
      <c r="L459" s="4">
        <v>1330070</v>
      </c>
      <c r="M459" s="5">
        <v>8.3006169377453729E-3</v>
      </c>
      <c r="N459" s="5">
        <v>0.1891891891891892</v>
      </c>
      <c r="O459" s="5">
        <v>0.21428571428571427</v>
      </c>
      <c r="P459">
        <v>0</v>
      </c>
      <c r="Q459" s="1">
        <v>0</v>
      </c>
      <c r="R459">
        <v>-32230</v>
      </c>
      <c r="S459" s="1">
        <v>-2.3658518681641341E-2</v>
      </c>
    </row>
    <row r="460" spans="1:19" x14ac:dyDescent="0.45">
      <c r="A460" t="s">
        <v>55</v>
      </c>
      <c r="B460" t="s">
        <v>63</v>
      </c>
      <c r="C460" t="s">
        <v>533</v>
      </c>
      <c r="D460" s="2">
        <v>2</v>
      </c>
      <c r="E460" s="2">
        <v>2</v>
      </c>
      <c r="F460" s="2">
        <v>981310</v>
      </c>
      <c r="G460" s="3">
        <v>8.6404066073697584E-3</v>
      </c>
      <c r="H460" s="3">
        <v>0.17647058823529413</v>
      </c>
      <c r="I460" s="3">
        <v>0.1111111111111111</v>
      </c>
      <c r="J460" s="4">
        <v>4</v>
      </c>
      <c r="K460" s="4">
        <v>4</v>
      </c>
      <c r="L460" s="4">
        <v>2166620</v>
      </c>
      <c r="M460" s="5">
        <v>8.3006169377453729E-3</v>
      </c>
      <c r="N460" s="5">
        <v>0.1891891891891892</v>
      </c>
      <c r="O460" s="5">
        <v>0.2857142857142857</v>
      </c>
      <c r="P460">
        <v>2</v>
      </c>
      <c r="Q460" s="1">
        <v>1</v>
      </c>
      <c r="R460">
        <v>1185310</v>
      </c>
      <c r="S460" s="1">
        <v>1.2078853777093885</v>
      </c>
    </row>
    <row r="461" spans="1:19" x14ac:dyDescent="0.45">
      <c r="A461" t="s">
        <v>55</v>
      </c>
      <c r="B461" t="s">
        <v>63</v>
      </c>
      <c r="C461" t="s">
        <v>534</v>
      </c>
      <c r="D461" s="2">
        <v>1</v>
      </c>
      <c r="E461" s="2">
        <v>1</v>
      </c>
      <c r="F461" s="2">
        <v>510920</v>
      </c>
      <c r="G461" s="3">
        <v>8.6404066073697584E-3</v>
      </c>
      <c r="H461" s="3">
        <v>0.17647058823529413</v>
      </c>
      <c r="I461" s="3">
        <v>5.5555555555555552E-2</v>
      </c>
      <c r="J461" s="4">
        <v>1</v>
      </c>
      <c r="K461" s="4">
        <v>1</v>
      </c>
      <c r="L461" s="4">
        <v>542980</v>
      </c>
      <c r="M461" s="5">
        <v>8.3006169377453729E-3</v>
      </c>
      <c r="N461" s="5">
        <v>0.1891891891891892</v>
      </c>
      <c r="O461" s="5">
        <v>7.1428571428571425E-2</v>
      </c>
      <c r="P461">
        <v>0</v>
      </c>
      <c r="Q461" s="1">
        <v>0</v>
      </c>
      <c r="R461">
        <v>32060</v>
      </c>
      <c r="S461" s="1">
        <v>6.2749549831676188E-2</v>
      </c>
    </row>
    <row r="462" spans="1:19" x14ac:dyDescent="0.45">
      <c r="A462" t="s">
        <v>55</v>
      </c>
      <c r="B462" t="s">
        <v>63</v>
      </c>
      <c r="C462" t="s">
        <v>535</v>
      </c>
      <c r="D462" s="2">
        <v>6</v>
      </c>
      <c r="E462" s="2">
        <v>6</v>
      </c>
      <c r="F462" s="2">
        <v>3600780</v>
      </c>
      <c r="G462" s="3">
        <v>8.6404066073697584E-3</v>
      </c>
      <c r="H462" s="3">
        <v>0.17647058823529413</v>
      </c>
      <c r="I462" s="3">
        <v>0.33333333333333331</v>
      </c>
      <c r="J462" s="4">
        <v>3</v>
      </c>
      <c r="K462" s="4">
        <v>3</v>
      </c>
      <c r="L462" s="4">
        <v>1796060</v>
      </c>
      <c r="M462" s="5">
        <v>8.3006169377453729E-3</v>
      </c>
      <c r="N462" s="5">
        <v>0.1891891891891892</v>
      </c>
      <c r="O462" s="5">
        <v>0.21428571428571427</v>
      </c>
      <c r="P462">
        <v>-3</v>
      </c>
      <c r="Q462" s="1">
        <v>-0.5</v>
      </c>
      <c r="R462">
        <v>-1804720</v>
      </c>
      <c r="S462" s="1">
        <v>-0.50120251723237741</v>
      </c>
    </row>
    <row r="463" spans="1:19" x14ac:dyDescent="0.45">
      <c r="A463" t="s">
        <v>55</v>
      </c>
      <c r="B463" t="s">
        <v>63</v>
      </c>
      <c r="C463" t="s">
        <v>536</v>
      </c>
      <c r="D463" s="2">
        <v>1</v>
      </c>
      <c r="E463" s="2">
        <v>1</v>
      </c>
      <c r="F463" s="2">
        <v>529720</v>
      </c>
      <c r="G463" s="3">
        <v>8.6404066073697584E-3</v>
      </c>
      <c r="H463" s="3">
        <v>0.17647058823529413</v>
      </c>
      <c r="I463" s="3">
        <v>5.5555555555555552E-2</v>
      </c>
      <c r="J463" s="4">
        <v>0</v>
      </c>
      <c r="K463" s="4">
        <v>0</v>
      </c>
      <c r="L463" s="4">
        <v>0</v>
      </c>
      <c r="M463" s="5">
        <v>8.3006169377453729E-3</v>
      </c>
      <c r="N463" s="5">
        <v>0.1891891891891892</v>
      </c>
      <c r="O463" s="5">
        <v>0</v>
      </c>
      <c r="P463">
        <v>-1</v>
      </c>
      <c r="Q463" s="1">
        <v>-1</v>
      </c>
      <c r="R463">
        <v>-529720</v>
      </c>
      <c r="S463" s="1">
        <v>-1</v>
      </c>
    </row>
    <row r="464" spans="1:19" x14ac:dyDescent="0.45">
      <c r="A464" t="s">
        <v>55</v>
      </c>
      <c r="B464" t="s">
        <v>63</v>
      </c>
      <c r="C464" t="s">
        <v>537</v>
      </c>
      <c r="D464" s="2">
        <v>3</v>
      </c>
      <c r="E464" s="2">
        <v>3</v>
      </c>
      <c r="F464" s="2">
        <v>1589170</v>
      </c>
      <c r="G464" s="3">
        <v>8.6404066073697584E-3</v>
      </c>
      <c r="H464" s="3">
        <v>0.17647058823529413</v>
      </c>
      <c r="I464" s="3">
        <v>0.16666666666666666</v>
      </c>
      <c r="J464" s="4">
        <v>1</v>
      </c>
      <c r="K464" s="4">
        <v>1</v>
      </c>
      <c r="L464" s="4">
        <v>503260</v>
      </c>
      <c r="M464" s="5">
        <v>8.3006169377453729E-3</v>
      </c>
      <c r="N464" s="5">
        <v>0.1891891891891892</v>
      </c>
      <c r="O464" s="5">
        <v>7.1428571428571425E-2</v>
      </c>
      <c r="P464">
        <v>-2</v>
      </c>
      <c r="Q464" s="1">
        <v>-0.66666666666666663</v>
      </c>
      <c r="R464">
        <v>-1085910</v>
      </c>
      <c r="S464" s="1">
        <v>-0.68331896524600888</v>
      </c>
    </row>
    <row r="465" spans="1:19" x14ac:dyDescent="0.45">
      <c r="A465" t="s">
        <v>55</v>
      </c>
      <c r="B465" t="s">
        <v>63</v>
      </c>
      <c r="C465" t="s">
        <v>538</v>
      </c>
      <c r="D465" s="2">
        <v>1</v>
      </c>
      <c r="E465" s="2">
        <v>1</v>
      </c>
      <c r="F465" s="2">
        <v>604990</v>
      </c>
      <c r="G465" s="3">
        <v>8.6404066073697584E-3</v>
      </c>
      <c r="H465" s="3">
        <v>0.17647058823529413</v>
      </c>
      <c r="I465" s="3">
        <v>5.5555555555555552E-2</v>
      </c>
      <c r="J465" s="4">
        <v>0</v>
      </c>
      <c r="K465" s="4">
        <v>0</v>
      </c>
      <c r="L465" s="4">
        <v>0</v>
      </c>
      <c r="M465" s="5">
        <v>8.3006169377453729E-3</v>
      </c>
      <c r="N465" s="5">
        <v>0.1891891891891892</v>
      </c>
      <c r="O465" s="5">
        <v>0</v>
      </c>
      <c r="P465">
        <v>-1</v>
      </c>
      <c r="Q465" s="1">
        <v>-1</v>
      </c>
      <c r="R465">
        <v>-604990</v>
      </c>
      <c r="S465" s="1">
        <v>-1</v>
      </c>
    </row>
    <row r="466" spans="1:19" x14ac:dyDescent="0.45">
      <c r="A466" t="s">
        <v>55</v>
      </c>
      <c r="B466" t="s">
        <v>63</v>
      </c>
      <c r="C466" t="s">
        <v>539</v>
      </c>
      <c r="D466" s="2">
        <v>1</v>
      </c>
      <c r="E466" s="2">
        <v>1</v>
      </c>
      <c r="F466" s="2">
        <v>590880</v>
      </c>
      <c r="G466" s="3">
        <v>8.6404066073697584E-3</v>
      </c>
      <c r="H466" s="3">
        <v>0.17647058823529413</v>
      </c>
      <c r="I466" s="3">
        <v>5.5555555555555552E-2</v>
      </c>
      <c r="J466" s="4">
        <v>2</v>
      </c>
      <c r="K466" s="4">
        <v>2</v>
      </c>
      <c r="L466" s="4">
        <v>1172360</v>
      </c>
      <c r="M466" s="5">
        <v>8.3006169377453729E-3</v>
      </c>
      <c r="N466" s="5">
        <v>0.1891891891891892</v>
      </c>
      <c r="O466" s="5">
        <v>0.14285714285714285</v>
      </c>
      <c r="P466">
        <v>1</v>
      </c>
      <c r="Q466" s="1">
        <v>1</v>
      </c>
      <c r="R466">
        <v>581480</v>
      </c>
      <c r="S466" s="1">
        <v>0.98409152450582182</v>
      </c>
    </row>
    <row r="467" spans="1:19" x14ac:dyDescent="0.45">
      <c r="A467" t="s">
        <v>55</v>
      </c>
      <c r="B467" t="s">
        <v>64</v>
      </c>
      <c r="C467" t="s">
        <v>540</v>
      </c>
      <c r="D467" s="2">
        <v>2</v>
      </c>
      <c r="E467" s="2">
        <v>2</v>
      </c>
      <c r="F467" s="2">
        <v>441490</v>
      </c>
      <c r="G467" s="3">
        <v>8.6404066073697584E-3</v>
      </c>
      <c r="H467" s="3">
        <v>0.11764705882352941</v>
      </c>
      <c r="I467" s="3">
        <v>0.16666666666666666</v>
      </c>
      <c r="J467" s="4">
        <v>1</v>
      </c>
      <c r="K467" s="4">
        <v>1</v>
      </c>
      <c r="L467" s="4">
        <v>240550</v>
      </c>
      <c r="M467" s="5">
        <v>8.3006169377453729E-3</v>
      </c>
      <c r="N467" s="5">
        <v>4.0540540540540543E-2</v>
      </c>
      <c r="O467" s="5">
        <v>0.33333333333333331</v>
      </c>
      <c r="P467">
        <v>-1</v>
      </c>
      <c r="Q467" s="1">
        <v>-0.5</v>
      </c>
      <c r="R467">
        <v>-200940</v>
      </c>
      <c r="S467" s="1">
        <v>-0.45514054678475163</v>
      </c>
    </row>
    <row r="468" spans="1:19" x14ac:dyDescent="0.45">
      <c r="A468" t="s">
        <v>55</v>
      </c>
      <c r="B468" t="s">
        <v>64</v>
      </c>
      <c r="C468" t="s">
        <v>541</v>
      </c>
      <c r="D468" s="2">
        <v>10</v>
      </c>
      <c r="E468" s="2">
        <v>10</v>
      </c>
      <c r="F468" s="2">
        <v>2974160</v>
      </c>
      <c r="G468" s="3">
        <v>8.6404066073697584E-3</v>
      </c>
      <c r="H468" s="3">
        <v>0.11764705882352941</v>
      </c>
      <c r="I468" s="3">
        <v>0.83333333333333337</v>
      </c>
      <c r="J468" s="4">
        <v>2</v>
      </c>
      <c r="K468" s="4">
        <v>2</v>
      </c>
      <c r="L468" s="4">
        <v>619100</v>
      </c>
      <c r="M468" s="5">
        <v>8.3006169377453729E-3</v>
      </c>
      <c r="N468" s="5">
        <v>4.0540540540540543E-2</v>
      </c>
      <c r="O468" s="5">
        <v>0.66666666666666663</v>
      </c>
      <c r="P468">
        <v>-8</v>
      </c>
      <c r="Q468" s="1">
        <v>-0.8</v>
      </c>
      <c r="R468">
        <v>-2355060</v>
      </c>
      <c r="S468" s="1">
        <v>-0.79184038518438815</v>
      </c>
    </row>
    <row r="469" spans="1:19" x14ac:dyDescent="0.45">
      <c r="A469" t="s">
        <v>55</v>
      </c>
      <c r="B469" t="s">
        <v>65</v>
      </c>
      <c r="C469" t="s">
        <v>542</v>
      </c>
      <c r="D469" s="2">
        <v>4</v>
      </c>
      <c r="E469" s="2">
        <v>4</v>
      </c>
      <c r="F469" s="2">
        <v>374260</v>
      </c>
      <c r="G469" s="3">
        <v>8.6404066073697584E-3</v>
      </c>
      <c r="H469" s="3">
        <v>0.14705882352941177</v>
      </c>
      <c r="I469" s="3">
        <v>0.26666666666666666</v>
      </c>
      <c r="J469" s="4">
        <v>3</v>
      </c>
      <c r="K469" s="4">
        <v>4</v>
      </c>
      <c r="L469" s="4">
        <v>366950</v>
      </c>
      <c r="M469" s="5">
        <v>8.3006169377453729E-3</v>
      </c>
      <c r="N469" s="5">
        <v>0.14864864864864866</v>
      </c>
      <c r="O469" s="5">
        <v>0.36363636363636365</v>
      </c>
      <c r="P469">
        <v>0</v>
      </c>
      <c r="Q469" s="1">
        <v>0</v>
      </c>
      <c r="R469">
        <v>-7310</v>
      </c>
      <c r="S469" s="1">
        <v>-1.9531876235771923E-2</v>
      </c>
    </row>
    <row r="470" spans="1:19" x14ac:dyDescent="0.45">
      <c r="A470" t="s">
        <v>55</v>
      </c>
      <c r="B470" t="s">
        <v>65</v>
      </c>
      <c r="C470" t="s">
        <v>543</v>
      </c>
      <c r="D470" s="2">
        <v>11</v>
      </c>
      <c r="E470" s="2">
        <v>11</v>
      </c>
      <c r="F470" s="2">
        <v>1040170</v>
      </c>
      <c r="G470" s="3">
        <v>8.6404066073697584E-3</v>
      </c>
      <c r="H470" s="3">
        <v>0.14705882352941177</v>
      </c>
      <c r="I470" s="3">
        <v>0.73333333333333328</v>
      </c>
      <c r="J470" s="4">
        <v>7</v>
      </c>
      <c r="K470" s="4">
        <v>7</v>
      </c>
      <c r="L470" s="4">
        <v>651320</v>
      </c>
      <c r="M470" s="5">
        <v>8.3006169377453729E-3</v>
      </c>
      <c r="N470" s="5">
        <v>0.14864864864864866</v>
      </c>
      <c r="O470" s="5">
        <v>0.63636363636363635</v>
      </c>
      <c r="P470">
        <v>-4</v>
      </c>
      <c r="Q470" s="1">
        <v>-0.36363636363636365</v>
      </c>
      <c r="R470">
        <v>-388850</v>
      </c>
      <c r="S470" s="1">
        <v>-0.37383312343174674</v>
      </c>
    </row>
    <row r="471" spans="1:19" x14ac:dyDescent="0.45">
      <c r="A471" t="s">
        <v>66</v>
      </c>
      <c r="B471" t="s">
        <v>67</v>
      </c>
      <c r="C471" t="s">
        <v>544</v>
      </c>
      <c r="D471" s="2">
        <v>2</v>
      </c>
      <c r="E471" s="2">
        <v>4</v>
      </c>
      <c r="F471" s="2">
        <v>426240</v>
      </c>
      <c r="G471" s="3">
        <v>1.5163066497246929E-2</v>
      </c>
      <c r="H471" s="3">
        <v>8.3798882681564241E-2</v>
      </c>
      <c r="I471" s="3">
        <v>0.26666666666666666</v>
      </c>
      <c r="J471" s="4">
        <v>0</v>
      </c>
      <c r="K471" s="4">
        <v>0</v>
      </c>
      <c r="L471" s="4">
        <v>0</v>
      </c>
      <c r="M471" s="5">
        <v>1.7049915872125631E-2</v>
      </c>
      <c r="N471" s="5">
        <v>0</v>
      </c>
      <c r="O471" s="5">
        <v>0</v>
      </c>
      <c r="P471">
        <v>-4</v>
      </c>
      <c r="Q471" s="1">
        <v>-1</v>
      </c>
      <c r="R471">
        <v>-426240</v>
      </c>
      <c r="S471" s="1">
        <v>-1</v>
      </c>
    </row>
    <row r="472" spans="1:19" x14ac:dyDescent="0.45">
      <c r="A472" t="s">
        <v>66</v>
      </c>
      <c r="B472" t="s">
        <v>67</v>
      </c>
      <c r="C472" t="s">
        <v>545</v>
      </c>
      <c r="D472" s="2">
        <v>1</v>
      </c>
      <c r="E472" s="2">
        <v>1</v>
      </c>
      <c r="F472" s="2">
        <v>175000</v>
      </c>
      <c r="G472" s="3">
        <v>1.5163066497246929E-2</v>
      </c>
      <c r="H472" s="3">
        <v>8.3798882681564241E-2</v>
      </c>
      <c r="I472" s="3">
        <v>6.6666666666666666E-2</v>
      </c>
      <c r="J472" s="4">
        <v>0</v>
      </c>
      <c r="K472" s="4">
        <v>0</v>
      </c>
      <c r="L472" s="4">
        <v>0</v>
      </c>
      <c r="M472" s="5">
        <v>1.7049915872125631E-2</v>
      </c>
      <c r="N472" s="5">
        <v>0</v>
      </c>
      <c r="O472" s="5">
        <v>0</v>
      </c>
      <c r="P472">
        <v>-1</v>
      </c>
      <c r="Q472" s="1">
        <v>-1</v>
      </c>
      <c r="R472">
        <v>-175000</v>
      </c>
      <c r="S472" s="1">
        <v>-1</v>
      </c>
    </row>
    <row r="473" spans="1:19" x14ac:dyDescent="0.45">
      <c r="A473" t="s">
        <v>66</v>
      </c>
      <c r="B473" t="s">
        <v>67</v>
      </c>
      <c r="C473" t="s">
        <v>546</v>
      </c>
      <c r="D473" s="2">
        <v>1</v>
      </c>
      <c r="E473" s="2">
        <v>1</v>
      </c>
      <c r="F473" s="2">
        <v>125000</v>
      </c>
      <c r="G473" s="3">
        <v>1.5163066497246929E-2</v>
      </c>
      <c r="H473" s="3">
        <v>8.3798882681564241E-2</v>
      </c>
      <c r="I473" s="3">
        <v>6.6666666666666666E-2</v>
      </c>
      <c r="J473" s="4">
        <v>0</v>
      </c>
      <c r="K473" s="4">
        <v>0</v>
      </c>
      <c r="L473" s="4">
        <v>0</v>
      </c>
      <c r="M473" s="5">
        <v>1.7049915872125631E-2</v>
      </c>
      <c r="N473" s="5">
        <v>0</v>
      </c>
      <c r="O473" s="5">
        <v>0</v>
      </c>
      <c r="P473">
        <v>-1</v>
      </c>
      <c r="Q473" s="1">
        <v>-1</v>
      </c>
      <c r="R473">
        <v>-125000</v>
      </c>
      <c r="S473" s="1">
        <v>-1</v>
      </c>
    </row>
    <row r="474" spans="1:19" x14ac:dyDescent="0.45">
      <c r="A474" t="s">
        <v>66</v>
      </c>
      <c r="B474" t="s">
        <v>67</v>
      </c>
      <c r="C474" t="s">
        <v>547</v>
      </c>
      <c r="D474" s="2">
        <v>3</v>
      </c>
      <c r="E474" s="2">
        <v>9</v>
      </c>
      <c r="F474" s="2">
        <v>829390</v>
      </c>
      <c r="G474" s="3">
        <v>1.5163066497246929E-2</v>
      </c>
      <c r="H474" s="3">
        <v>8.3798882681564241E-2</v>
      </c>
      <c r="I474" s="3">
        <v>0.6</v>
      </c>
      <c r="J474" s="4">
        <v>0</v>
      </c>
      <c r="K474" s="4">
        <v>0</v>
      </c>
      <c r="L474" s="4">
        <v>0</v>
      </c>
      <c r="M474" s="5">
        <v>1.7049915872125631E-2</v>
      </c>
      <c r="N474" s="5">
        <v>0</v>
      </c>
      <c r="O474" s="5">
        <v>0</v>
      </c>
      <c r="P474">
        <v>-9</v>
      </c>
      <c r="Q474" s="1">
        <v>-1</v>
      </c>
      <c r="R474">
        <v>-829390</v>
      </c>
      <c r="S474" s="1">
        <v>-1</v>
      </c>
    </row>
    <row r="475" spans="1:19" x14ac:dyDescent="0.45">
      <c r="A475" t="s">
        <v>66</v>
      </c>
      <c r="B475" t="s">
        <v>51</v>
      </c>
      <c r="C475" t="s">
        <v>548</v>
      </c>
      <c r="D475" s="2">
        <v>8</v>
      </c>
      <c r="E475" s="2">
        <v>8</v>
      </c>
      <c r="F475" s="2">
        <v>570270</v>
      </c>
      <c r="G475" s="3">
        <v>1.5163066497246929E-2</v>
      </c>
      <c r="H475" s="3">
        <v>0.11173184357541899</v>
      </c>
      <c r="I475" s="3">
        <v>0.4</v>
      </c>
      <c r="J475" s="4">
        <v>8</v>
      </c>
      <c r="K475" s="4">
        <v>9</v>
      </c>
      <c r="L475" s="4">
        <v>650380</v>
      </c>
      <c r="M475" s="5">
        <v>1.7049915872125631E-2</v>
      </c>
      <c r="N475" s="5">
        <v>0.14473684210526316</v>
      </c>
      <c r="O475" s="5">
        <v>0.40909090909090912</v>
      </c>
      <c r="P475">
        <v>1</v>
      </c>
      <c r="Q475" s="1">
        <v>0.125</v>
      </c>
      <c r="R475">
        <v>80110</v>
      </c>
      <c r="S475" s="1">
        <v>0.14047731776176198</v>
      </c>
    </row>
    <row r="476" spans="1:19" x14ac:dyDescent="0.45">
      <c r="A476" t="s">
        <v>66</v>
      </c>
      <c r="B476" t="s">
        <v>51</v>
      </c>
      <c r="C476" t="s">
        <v>549</v>
      </c>
      <c r="D476" s="2">
        <v>10</v>
      </c>
      <c r="E476" s="2">
        <v>11</v>
      </c>
      <c r="F476" s="2">
        <v>961400</v>
      </c>
      <c r="G476" s="3">
        <v>1.5163066497246929E-2</v>
      </c>
      <c r="H476" s="3">
        <v>0.11173184357541899</v>
      </c>
      <c r="I476" s="3">
        <v>0.55000000000000004</v>
      </c>
      <c r="J476" s="4">
        <v>4</v>
      </c>
      <c r="K476" s="4">
        <v>7</v>
      </c>
      <c r="L476" s="4">
        <v>596970</v>
      </c>
      <c r="M476" s="5">
        <v>1.7049915872125631E-2</v>
      </c>
      <c r="N476" s="5">
        <v>0.14473684210526316</v>
      </c>
      <c r="O476" s="5">
        <v>0.31818181818181818</v>
      </c>
      <c r="P476">
        <v>-4</v>
      </c>
      <c r="Q476" s="1">
        <v>-0.36363636363636365</v>
      </c>
      <c r="R476">
        <v>-364430</v>
      </c>
      <c r="S476" s="1">
        <v>-0.37906178489702519</v>
      </c>
    </row>
    <row r="477" spans="1:19" x14ac:dyDescent="0.45">
      <c r="A477" t="s">
        <v>66</v>
      </c>
      <c r="B477" t="s">
        <v>51</v>
      </c>
      <c r="C477" t="s">
        <v>550</v>
      </c>
      <c r="D477" s="2">
        <v>2</v>
      </c>
      <c r="E477" s="2">
        <v>2</v>
      </c>
      <c r="F477" s="2">
        <v>203790</v>
      </c>
      <c r="G477" s="3">
        <v>1.5163066497246929E-2</v>
      </c>
      <c r="H477" s="3">
        <v>0.11173184357541899</v>
      </c>
      <c r="I477" s="3">
        <v>0.1</v>
      </c>
      <c r="J477" s="4">
        <v>4</v>
      </c>
      <c r="K477" s="4">
        <v>4</v>
      </c>
      <c r="L477" s="4">
        <v>403990</v>
      </c>
      <c r="M477" s="5">
        <v>1.7049915872125631E-2</v>
      </c>
      <c r="N477" s="5">
        <v>0.14473684210526316</v>
      </c>
      <c r="O477" s="5">
        <v>0.18181818181818182</v>
      </c>
      <c r="P477">
        <v>2</v>
      </c>
      <c r="Q477" s="1">
        <v>1</v>
      </c>
      <c r="R477">
        <v>200200</v>
      </c>
      <c r="S477" s="1">
        <v>0.98238382648805145</v>
      </c>
    </row>
    <row r="478" spans="1:19" x14ac:dyDescent="0.45">
      <c r="A478" t="s">
        <v>66</v>
      </c>
      <c r="B478" t="s">
        <v>51</v>
      </c>
      <c r="C478" t="s">
        <v>551</v>
      </c>
      <c r="D478" s="2">
        <v>-1</v>
      </c>
      <c r="E478" s="2">
        <v>-1</v>
      </c>
      <c r="F478" s="2">
        <v>-129000</v>
      </c>
      <c r="G478" s="3">
        <v>1.5163066497246929E-2</v>
      </c>
      <c r="H478" s="3">
        <v>0.11173184357541899</v>
      </c>
      <c r="I478" s="3">
        <v>-0.05</v>
      </c>
      <c r="J478" s="4">
        <v>2</v>
      </c>
      <c r="K478" s="4">
        <v>2</v>
      </c>
      <c r="L478" s="4">
        <v>246500</v>
      </c>
      <c r="M478" s="5">
        <v>1.7049915872125631E-2</v>
      </c>
      <c r="N478" s="5">
        <v>0.14473684210526316</v>
      </c>
      <c r="O478" s="5">
        <v>9.0909090909090912E-2</v>
      </c>
      <c r="P478">
        <v>3</v>
      </c>
      <c r="Q478" s="1">
        <v>-3</v>
      </c>
      <c r="R478">
        <v>375500</v>
      </c>
      <c r="S478" s="1">
        <v>-2.9108527131782944</v>
      </c>
    </row>
    <row r="479" spans="1:19" x14ac:dyDescent="0.45">
      <c r="A479" t="s">
        <v>66</v>
      </c>
      <c r="B479" t="s">
        <v>68</v>
      </c>
      <c r="C479" t="s">
        <v>552</v>
      </c>
      <c r="D479" s="2">
        <v>2</v>
      </c>
      <c r="E479" s="2">
        <v>2</v>
      </c>
      <c r="F479" s="2">
        <v>240470</v>
      </c>
      <c r="G479" s="3">
        <v>1.5163066497246929E-2</v>
      </c>
      <c r="H479" s="3">
        <v>0.4972067039106145</v>
      </c>
      <c r="I479" s="3">
        <v>2.247191011235955E-2</v>
      </c>
      <c r="J479" s="4">
        <v>1</v>
      </c>
      <c r="K479" s="4">
        <v>1</v>
      </c>
      <c r="L479" s="4">
        <v>120180</v>
      </c>
      <c r="M479" s="5">
        <v>1.7049915872125631E-2</v>
      </c>
      <c r="N479" s="5">
        <v>0.32894736842105265</v>
      </c>
      <c r="O479" s="5">
        <v>0.02</v>
      </c>
      <c r="P479">
        <v>-1</v>
      </c>
      <c r="Q479" s="1">
        <v>-0.5</v>
      </c>
      <c r="R479">
        <v>-120290</v>
      </c>
      <c r="S479" s="1">
        <v>-0.5002287187590968</v>
      </c>
    </row>
    <row r="480" spans="1:19" x14ac:dyDescent="0.45">
      <c r="A480" t="s">
        <v>66</v>
      </c>
      <c r="B480" t="s">
        <v>68</v>
      </c>
      <c r="C480" t="s">
        <v>553</v>
      </c>
      <c r="D480" s="2">
        <v>1</v>
      </c>
      <c r="E480" s="2">
        <v>1</v>
      </c>
      <c r="F480" s="2">
        <v>130850</v>
      </c>
      <c r="G480" s="3">
        <v>1.5163066497246929E-2</v>
      </c>
      <c r="H480" s="3">
        <v>0.4972067039106145</v>
      </c>
      <c r="I480" s="3">
        <v>1.1235955056179775E-2</v>
      </c>
      <c r="J480" s="4">
        <v>1</v>
      </c>
      <c r="K480" s="4">
        <v>1</v>
      </c>
      <c r="L480" s="4">
        <v>121150</v>
      </c>
      <c r="M480" s="5">
        <v>1.7049915872125631E-2</v>
      </c>
      <c r="N480" s="5">
        <v>0.32894736842105265</v>
      </c>
      <c r="O480" s="5">
        <v>0.02</v>
      </c>
      <c r="P480">
        <v>0</v>
      </c>
      <c r="Q480" s="1">
        <v>0</v>
      </c>
      <c r="R480">
        <v>-9700</v>
      </c>
      <c r="S480" s="1">
        <v>-7.4130683989300727E-2</v>
      </c>
    </row>
    <row r="481" spans="1:19" x14ac:dyDescent="0.45">
      <c r="A481" t="s">
        <v>66</v>
      </c>
      <c r="B481" t="s">
        <v>68</v>
      </c>
      <c r="C481" t="s">
        <v>554</v>
      </c>
      <c r="D481" s="2">
        <v>5</v>
      </c>
      <c r="E481" s="2">
        <v>6</v>
      </c>
      <c r="F481" s="2">
        <v>823340</v>
      </c>
      <c r="G481" s="3">
        <v>1.5163066497246929E-2</v>
      </c>
      <c r="H481" s="3">
        <v>0.4972067039106145</v>
      </c>
      <c r="I481" s="3">
        <v>6.741573033707865E-2</v>
      </c>
      <c r="J481" s="4">
        <v>3</v>
      </c>
      <c r="K481" s="4">
        <v>4</v>
      </c>
      <c r="L481" s="4">
        <v>550280</v>
      </c>
      <c r="M481" s="5">
        <v>1.7049915872125631E-2</v>
      </c>
      <c r="N481" s="5">
        <v>0.32894736842105265</v>
      </c>
      <c r="O481" s="5">
        <v>0.08</v>
      </c>
      <c r="P481">
        <v>-2</v>
      </c>
      <c r="Q481" s="1">
        <v>-0.33333333333333331</v>
      </c>
      <c r="R481">
        <v>-273060</v>
      </c>
      <c r="S481" s="1">
        <v>-0.33164913644423932</v>
      </c>
    </row>
    <row r="482" spans="1:19" x14ac:dyDescent="0.45">
      <c r="A482" t="s">
        <v>66</v>
      </c>
      <c r="B482" t="s">
        <v>68</v>
      </c>
      <c r="C482" t="s">
        <v>555</v>
      </c>
      <c r="D482" s="2">
        <v>6</v>
      </c>
      <c r="E482" s="2">
        <v>7</v>
      </c>
      <c r="F482" s="2">
        <v>993100</v>
      </c>
      <c r="G482" s="3">
        <v>1.5163066497246929E-2</v>
      </c>
      <c r="H482" s="3">
        <v>0.4972067039106145</v>
      </c>
      <c r="I482" s="3">
        <v>7.8651685393258425E-2</v>
      </c>
      <c r="J482" s="4">
        <v>3</v>
      </c>
      <c r="K482" s="4">
        <v>3</v>
      </c>
      <c r="L482" s="4">
        <v>433430</v>
      </c>
      <c r="M482" s="5">
        <v>1.7049915872125631E-2</v>
      </c>
      <c r="N482" s="5">
        <v>0.32894736842105265</v>
      </c>
      <c r="O482" s="5">
        <v>0.06</v>
      </c>
      <c r="P482">
        <v>-4</v>
      </c>
      <c r="Q482" s="1">
        <v>-0.5714285714285714</v>
      </c>
      <c r="R482">
        <v>-559670</v>
      </c>
      <c r="S482" s="1">
        <v>-0.56355855402275701</v>
      </c>
    </row>
    <row r="483" spans="1:19" x14ac:dyDescent="0.45">
      <c r="A483" t="s">
        <v>66</v>
      </c>
      <c r="B483" t="s">
        <v>68</v>
      </c>
      <c r="C483" t="s">
        <v>556</v>
      </c>
      <c r="D483" s="2">
        <v>0</v>
      </c>
      <c r="E483" s="2">
        <v>0</v>
      </c>
      <c r="F483" s="2">
        <v>0</v>
      </c>
      <c r="G483" s="3">
        <v>1.5163066497246929E-2</v>
      </c>
      <c r="H483" s="3">
        <v>0.4972067039106145</v>
      </c>
      <c r="I483" s="3">
        <v>0</v>
      </c>
      <c r="J483" s="4">
        <v>0</v>
      </c>
      <c r="K483" s="4">
        <v>0</v>
      </c>
      <c r="L483" s="4">
        <v>-3000</v>
      </c>
      <c r="M483" s="5">
        <v>1.7049915872125631E-2</v>
      </c>
      <c r="N483" s="5">
        <v>0.32894736842105265</v>
      </c>
      <c r="O483" s="5">
        <v>0</v>
      </c>
      <c r="P483">
        <v>0</v>
      </c>
      <c r="Q483" s="1">
        <v>0</v>
      </c>
      <c r="R483">
        <v>-3000</v>
      </c>
      <c r="S483" s="1">
        <v>0</v>
      </c>
    </row>
    <row r="484" spans="1:19" x14ac:dyDescent="0.45">
      <c r="A484" t="s">
        <v>66</v>
      </c>
      <c r="B484" t="s">
        <v>68</v>
      </c>
      <c r="C484" t="s">
        <v>557</v>
      </c>
      <c r="D484" s="2">
        <v>1</v>
      </c>
      <c r="E484" s="2">
        <v>1</v>
      </c>
      <c r="F484" s="2">
        <v>90620</v>
      </c>
      <c r="G484" s="3">
        <v>1.5163066497246929E-2</v>
      </c>
      <c r="H484" s="3">
        <v>0.4972067039106145</v>
      </c>
      <c r="I484" s="3">
        <v>1.1235955056179775E-2</v>
      </c>
      <c r="J484" s="4">
        <v>2</v>
      </c>
      <c r="K484" s="4">
        <v>3</v>
      </c>
      <c r="L484" s="4">
        <v>311340</v>
      </c>
      <c r="M484" s="5">
        <v>1.7049915872125631E-2</v>
      </c>
      <c r="N484" s="5">
        <v>0.32894736842105265</v>
      </c>
      <c r="O484" s="5">
        <v>0.06</v>
      </c>
      <c r="P484">
        <v>2</v>
      </c>
      <c r="Q484" s="1">
        <v>2</v>
      </c>
      <c r="R484">
        <v>220720</v>
      </c>
      <c r="S484" s="1">
        <v>2.4356654160229532</v>
      </c>
    </row>
    <row r="485" spans="1:19" x14ac:dyDescent="0.45">
      <c r="A485" t="s">
        <v>66</v>
      </c>
      <c r="B485" t="s">
        <v>68</v>
      </c>
      <c r="C485" t="s">
        <v>558</v>
      </c>
      <c r="D485" s="2">
        <v>0</v>
      </c>
      <c r="E485" s="2">
        <v>0</v>
      </c>
      <c r="F485" s="2">
        <v>0</v>
      </c>
      <c r="G485" s="3">
        <v>1.5163066497246929E-2</v>
      </c>
      <c r="H485" s="3">
        <v>0.4972067039106145</v>
      </c>
      <c r="I485" s="3">
        <v>0</v>
      </c>
      <c r="J485" s="4">
        <v>2</v>
      </c>
      <c r="K485" s="4">
        <v>4</v>
      </c>
      <c r="L485" s="4">
        <v>591990</v>
      </c>
      <c r="M485" s="5">
        <v>1.7049915872125631E-2</v>
      </c>
      <c r="N485" s="5">
        <v>0.32894736842105265</v>
      </c>
      <c r="O485" s="5">
        <v>0.08</v>
      </c>
      <c r="P485">
        <v>4</v>
      </c>
      <c r="Q485" s="1">
        <v>1</v>
      </c>
      <c r="R485">
        <v>591990</v>
      </c>
      <c r="S485" s="1">
        <v>1</v>
      </c>
    </row>
    <row r="486" spans="1:19" x14ac:dyDescent="0.45">
      <c r="A486" t="s">
        <v>66</v>
      </c>
      <c r="B486" t="s">
        <v>68</v>
      </c>
      <c r="C486" t="s">
        <v>559</v>
      </c>
      <c r="D486" s="2">
        <v>4</v>
      </c>
      <c r="E486" s="2">
        <v>7</v>
      </c>
      <c r="F486" s="2">
        <v>1366400</v>
      </c>
      <c r="G486" s="3">
        <v>1.5163066497246929E-2</v>
      </c>
      <c r="H486" s="3">
        <v>0.4972067039106145</v>
      </c>
      <c r="I486" s="3">
        <v>7.8651685393258425E-2</v>
      </c>
      <c r="J486" s="4">
        <v>1</v>
      </c>
      <c r="K486" s="4">
        <v>1</v>
      </c>
      <c r="L486" s="4">
        <v>179640</v>
      </c>
      <c r="M486" s="5">
        <v>1.7049915872125631E-2</v>
      </c>
      <c r="N486" s="5">
        <v>0.32894736842105265</v>
      </c>
      <c r="O486" s="5">
        <v>0.02</v>
      </c>
      <c r="P486">
        <v>-6</v>
      </c>
      <c r="Q486" s="1">
        <v>-0.8571428571428571</v>
      </c>
      <c r="R486">
        <v>-1186760</v>
      </c>
      <c r="S486" s="1">
        <v>-0.8685304449648712</v>
      </c>
    </row>
    <row r="487" spans="1:19" x14ac:dyDescent="0.45">
      <c r="A487" t="s">
        <v>66</v>
      </c>
      <c r="B487" t="s">
        <v>68</v>
      </c>
      <c r="C487" t="s">
        <v>560</v>
      </c>
      <c r="D487" s="2">
        <v>9</v>
      </c>
      <c r="E487" s="2">
        <v>27</v>
      </c>
      <c r="F487" s="2">
        <v>64200</v>
      </c>
      <c r="G487" s="3">
        <v>1.5163066497246929E-2</v>
      </c>
      <c r="H487" s="3">
        <v>0.4972067039106145</v>
      </c>
      <c r="I487" s="3">
        <v>0.30337078651685395</v>
      </c>
      <c r="J487" s="4">
        <v>6</v>
      </c>
      <c r="K487" s="4">
        <v>12</v>
      </c>
      <c r="L487" s="4">
        <v>28200</v>
      </c>
      <c r="M487" s="5">
        <v>1.7049915872125631E-2</v>
      </c>
      <c r="N487" s="5">
        <v>0.32894736842105265</v>
      </c>
      <c r="O487" s="5">
        <v>0.24</v>
      </c>
      <c r="P487">
        <v>-15</v>
      </c>
      <c r="Q487" s="1">
        <v>-0.55555555555555558</v>
      </c>
      <c r="R487">
        <v>-36000</v>
      </c>
      <c r="S487" s="1">
        <v>-0.56074766355140182</v>
      </c>
    </row>
    <row r="488" spans="1:19" x14ac:dyDescent="0.45">
      <c r="A488" t="s">
        <v>66</v>
      </c>
      <c r="B488" t="s">
        <v>68</v>
      </c>
      <c r="C488" t="s">
        <v>561</v>
      </c>
      <c r="D488" s="2">
        <v>0</v>
      </c>
      <c r="E488" s="2">
        <v>0</v>
      </c>
      <c r="F488" s="2">
        <v>0</v>
      </c>
      <c r="G488" s="3">
        <v>1.5163066497246929E-2</v>
      </c>
      <c r="H488" s="3">
        <v>0.4972067039106145</v>
      </c>
      <c r="I488" s="3">
        <v>0</v>
      </c>
      <c r="J488" s="4">
        <v>3</v>
      </c>
      <c r="K488" s="4">
        <v>4</v>
      </c>
      <c r="L488" s="4">
        <v>44180</v>
      </c>
      <c r="M488" s="5">
        <v>1.7049915872125631E-2</v>
      </c>
      <c r="N488" s="5">
        <v>0.32894736842105265</v>
      </c>
      <c r="O488" s="5">
        <v>0.08</v>
      </c>
      <c r="P488">
        <v>4</v>
      </c>
      <c r="Q488" s="1">
        <v>1</v>
      </c>
      <c r="R488">
        <v>44180</v>
      </c>
      <c r="S488" s="1">
        <v>1</v>
      </c>
    </row>
    <row r="489" spans="1:19" x14ac:dyDescent="0.45">
      <c r="A489" t="s">
        <v>66</v>
      </c>
      <c r="B489" t="s">
        <v>68</v>
      </c>
      <c r="C489" t="s">
        <v>562</v>
      </c>
      <c r="D489" s="2">
        <v>0</v>
      </c>
      <c r="E489" s="2">
        <v>0</v>
      </c>
      <c r="F489" s="2">
        <v>0</v>
      </c>
      <c r="G489" s="3">
        <v>1.5163066497246929E-2</v>
      </c>
      <c r="H489" s="3">
        <v>0.4972067039106145</v>
      </c>
      <c r="I489" s="3">
        <v>0</v>
      </c>
      <c r="J489" s="4">
        <v>2</v>
      </c>
      <c r="K489" s="4">
        <v>6</v>
      </c>
      <c r="L489" s="4">
        <v>14250</v>
      </c>
      <c r="M489" s="5">
        <v>1.7049915872125631E-2</v>
      </c>
      <c r="N489" s="5">
        <v>0.32894736842105265</v>
      </c>
      <c r="O489" s="5">
        <v>0.12</v>
      </c>
      <c r="P489">
        <v>6</v>
      </c>
      <c r="Q489" s="1">
        <v>1</v>
      </c>
      <c r="R489">
        <v>14250</v>
      </c>
      <c r="S489" s="1">
        <v>1</v>
      </c>
    </row>
    <row r="490" spans="1:19" x14ac:dyDescent="0.45">
      <c r="A490" t="s">
        <v>66</v>
      </c>
      <c r="B490" t="s">
        <v>68</v>
      </c>
      <c r="C490" t="s">
        <v>563</v>
      </c>
      <c r="D490" s="2">
        <v>13</v>
      </c>
      <c r="E490" s="2">
        <v>38</v>
      </c>
      <c r="F490" s="2">
        <v>684950</v>
      </c>
      <c r="G490" s="3">
        <v>1.5163066497246929E-2</v>
      </c>
      <c r="H490" s="3">
        <v>0.4972067039106145</v>
      </c>
      <c r="I490" s="3">
        <v>0.42696629213483145</v>
      </c>
      <c r="J490" s="4">
        <v>4</v>
      </c>
      <c r="K490" s="4">
        <v>11</v>
      </c>
      <c r="L490" s="4">
        <v>190410</v>
      </c>
      <c r="M490" s="5">
        <v>1.7049915872125631E-2</v>
      </c>
      <c r="N490" s="5">
        <v>0.32894736842105265</v>
      </c>
      <c r="O490" s="5">
        <v>0.22</v>
      </c>
      <c r="P490">
        <v>-27</v>
      </c>
      <c r="Q490" s="1">
        <v>-0.71052631578947367</v>
      </c>
      <c r="R490">
        <v>-494540</v>
      </c>
      <c r="S490" s="1">
        <v>-0.72200890575954446</v>
      </c>
    </row>
    <row r="491" spans="1:19" x14ac:dyDescent="0.45">
      <c r="A491" t="s">
        <v>66</v>
      </c>
      <c r="B491" t="s">
        <v>69</v>
      </c>
      <c r="C491" t="s">
        <v>564</v>
      </c>
      <c r="D491" s="2">
        <v>1</v>
      </c>
      <c r="E491" s="2">
        <v>1</v>
      </c>
      <c r="F491" s="2">
        <v>156000</v>
      </c>
      <c r="G491" s="3">
        <v>1.5163066497246929E-2</v>
      </c>
      <c r="H491" s="3">
        <v>2.7932960893854747E-2</v>
      </c>
      <c r="I491" s="3">
        <v>0.2</v>
      </c>
      <c r="J491" s="4">
        <v>1</v>
      </c>
      <c r="K491" s="4">
        <v>1</v>
      </c>
      <c r="L491" s="4">
        <v>151320</v>
      </c>
      <c r="M491" s="5">
        <v>1.7049915872125631E-2</v>
      </c>
      <c r="N491" s="5">
        <v>3.9473684210526314E-2</v>
      </c>
      <c r="O491" s="5">
        <v>0.16666666666666666</v>
      </c>
      <c r="P491">
        <v>0</v>
      </c>
      <c r="Q491" s="1">
        <v>0</v>
      </c>
      <c r="R491">
        <v>-4680</v>
      </c>
      <c r="S491" s="1">
        <v>-0.03</v>
      </c>
    </row>
    <row r="492" spans="1:19" x14ac:dyDescent="0.45">
      <c r="A492" t="s">
        <v>66</v>
      </c>
      <c r="B492" t="s">
        <v>69</v>
      </c>
      <c r="C492" t="s">
        <v>565</v>
      </c>
      <c r="D492" s="2">
        <v>3</v>
      </c>
      <c r="E492" s="2">
        <v>3</v>
      </c>
      <c r="F492" s="2">
        <v>443960</v>
      </c>
      <c r="G492" s="3">
        <v>1.5163066497246929E-2</v>
      </c>
      <c r="H492" s="3">
        <v>2.7932960893854747E-2</v>
      </c>
      <c r="I492" s="3">
        <v>0.6</v>
      </c>
      <c r="J492" s="4">
        <v>2</v>
      </c>
      <c r="K492" s="4">
        <v>2</v>
      </c>
      <c r="L492" s="4">
        <v>301310</v>
      </c>
      <c r="M492" s="5">
        <v>1.7049915872125631E-2</v>
      </c>
      <c r="N492" s="5">
        <v>3.9473684210526314E-2</v>
      </c>
      <c r="O492" s="5">
        <v>0.33333333333333331</v>
      </c>
      <c r="P492">
        <v>-1</v>
      </c>
      <c r="Q492" s="1">
        <v>-0.33333333333333331</v>
      </c>
      <c r="R492">
        <v>-142650</v>
      </c>
      <c r="S492" s="1">
        <v>-0.32131273087665557</v>
      </c>
    </row>
    <row r="493" spans="1:19" x14ac:dyDescent="0.45">
      <c r="A493" t="s">
        <v>66</v>
      </c>
      <c r="B493" t="s">
        <v>69</v>
      </c>
      <c r="C493" t="s">
        <v>566</v>
      </c>
      <c r="D493" s="2">
        <v>0</v>
      </c>
      <c r="E493" s="2">
        <v>0</v>
      </c>
      <c r="F493" s="2">
        <v>0</v>
      </c>
      <c r="G493" s="3">
        <v>1.5163066497246929E-2</v>
      </c>
      <c r="H493" s="3">
        <v>2.7932960893854747E-2</v>
      </c>
      <c r="I493" s="3">
        <v>0</v>
      </c>
      <c r="J493" s="4">
        <v>1</v>
      </c>
      <c r="K493" s="4">
        <v>1</v>
      </c>
      <c r="L493" s="4">
        <v>166000</v>
      </c>
      <c r="M493" s="5">
        <v>1.7049915872125631E-2</v>
      </c>
      <c r="N493" s="5">
        <v>3.9473684210526314E-2</v>
      </c>
      <c r="O493" s="5">
        <v>0.16666666666666666</v>
      </c>
      <c r="P493">
        <v>1</v>
      </c>
      <c r="Q493" s="1">
        <v>1</v>
      </c>
      <c r="R493">
        <v>166000</v>
      </c>
      <c r="S493" s="1">
        <v>1</v>
      </c>
    </row>
    <row r="494" spans="1:19" x14ac:dyDescent="0.45">
      <c r="A494" t="s">
        <v>66</v>
      </c>
      <c r="B494" t="s">
        <v>69</v>
      </c>
      <c r="C494" t="s">
        <v>567</v>
      </c>
      <c r="D494" s="2">
        <v>1</v>
      </c>
      <c r="E494" s="2">
        <v>1</v>
      </c>
      <c r="F494" s="2">
        <v>166840</v>
      </c>
      <c r="G494" s="3">
        <v>1.5163066497246929E-2</v>
      </c>
      <c r="H494" s="3">
        <v>2.7932960893854747E-2</v>
      </c>
      <c r="I494" s="3">
        <v>0.2</v>
      </c>
      <c r="J494" s="4">
        <v>2</v>
      </c>
      <c r="K494" s="4">
        <v>2</v>
      </c>
      <c r="L494" s="4">
        <v>328670</v>
      </c>
      <c r="M494" s="5">
        <v>1.7049915872125631E-2</v>
      </c>
      <c r="N494" s="5">
        <v>3.9473684210526314E-2</v>
      </c>
      <c r="O494" s="5">
        <v>0.33333333333333331</v>
      </c>
      <c r="P494">
        <v>1</v>
      </c>
      <c r="Q494" s="1">
        <v>1</v>
      </c>
      <c r="R494">
        <v>161830</v>
      </c>
      <c r="S494" s="1">
        <v>0.96997122992088225</v>
      </c>
    </row>
    <row r="495" spans="1:19" x14ac:dyDescent="0.45">
      <c r="A495" t="s">
        <v>66</v>
      </c>
      <c r="B495" t="s">
        <v>70</v>
      </c>
      <c r="C495" t="s">
        <v>568</v>
      </c>
      <c r="D495" s="2">
        <v>20</v>
      </c>
      <c r="E495" s="2">
        <v>22</v>
      </c>
      <c r="F495" s="2">
        <v>3446800</v>
      </c>
      <c r="G495" s="3">
        <v>1.5163066497246929E-2</v>
      </c>
      <c r="H495" s="3">
        <v>0.27932960893854747</v>
      </c>
      <c r="I495" s="3">
        <v>0.44</v>
      </c>
      <c r="J495" s="4">
        <v>22</v>
      </c>
      <c r="K495" s="4">
        <v>25</v>
      </c>
      <c r="L495" s="4">
        <v>3890390</v>
      </c>
      <c r="M495" s="5">
        <v>1.7049915872125631E-2</v>
      </c>
      <c r="N495" s="5">
        <v>0.48684210526315791</v>
      </c>
      <c r="O495" s="5">
        <v>0.33783783783783783</v>
      </c>
      <c r="P495">
        <v>3</v>
      </c>
      <c r="Q495" s="1">
        <v>0.13636363636363635</v>
      </c>
      <c r="R495">
        <v>443590</v>
      </c>
      <c r="S495" s="1">
        <v>0.1286961819658814</v>
      </c>
    </row>
    <row r="496" spans="1:19" x14ac:dyDescent="0.45">
      <c r="A496" t="s">
        <v>66</v>
      </c>
      <c r="B496" t="s">
        <v>70</v>
      </c>
      <c r="C496" t="s">
        <v>569</v>
      </c>
      <c r="D496" s="2">
        <v>16</v>
      </c>
      <c r="E496" s="2">
        <v>19</v>
      </c>
      <c r="F496" s="2">
        <v>3573330</v>
      </c>
      <c r="G496" s="3">
        <v>1.5163066497246929E-2</v>
      </c>
      <c r="H496" s="3">
        <v>0.27932960893854747</v>
      </c>
      <c r="I496" s="3">
        <v>0.38</v>
      </c>
      <c r="J496" s="4">
        <v>16</v>
      </c>
      <c r="K496" s="4">
        <v>16</v>
      </c>
      <c r="L496" s="4">
        <v>2904270</v>
      </c>
      <c r="M496" s="5">
        <v>1.7049915872125631E-2</v>
      </c>
      <c r="N496" s="5">
        <v>0.48684210526315791</v>
      </c>
      <c r="O496" s="5">
        <v>0.21621621621621623</v>
      </c>
      <c r="P496">
        <v>-3</v>
      </c>
      <c r="Q496" s="1">
        <v>-0.15789473684210525</v>
      </c>
      <c r="R496">
        <v>-669060</v>
      </c>
      <c r="S496" s="1">
        <v>-0.18723711495999529</v>
      </c>
    </row>
    <row r="497" spans="1:19" x14ac:dyDescent="0.45">
      <c r="A497" t="s">
        <v>66</v>
      </c>
      <c r="B497" t="s">
        <v>70</v>
      </c>
      <c r="C497" t="s">
        <v>570</v>
      </c>
      <c r="D497" s="2">
        <v>1</v>
      </c>
      <c r="E497" s="2">
        <v>1</v>
      </c>
      <c r="F497" s="2">
        <v>222780</v>
      </c>
      <c r="G497" s="3">
        <v>1.5163066497246929E-2</v>
      </c>
      <c r="H497" s="3">
        <v>0.27932960893854747</v>
      </c>
      <c r="I497" s="3">
        <v>0.02</v>
      </c>
      <c r="J497" s="4">
        <v>13</v>
      </c>
      <c r="K497" s="4">
        <v>13</v>
      </c>
      <c r="L497" s="4">
        <v>3094810</v>
      </c>
      <c r="M497" s="5">
        <v>1.7049915872125631E-2</v>
      </c>
      <c r="N497" s="5">
        <v>0.48684210526315791</v>
      </c>
      <c r="O497" s="5">
        <v>0.17567567567567569</v>
      </c>
      <c r="P497">
        <v>12</v>
      </c>
      <c r="Q497" s="1">
        <v>12</v>
      </c>
      <c r="R497">
        <v>2872030</v>
      </c>
      <c r="S497" s="1">
        <v>12.891776640632013</v>
      </c>
    </row>
    <row r="498" spans="1:19" x14ac:dyDescent="0.45">
      <c r="A498" t="s">
        <v>66</v>
      </c>
      <c r="B498" t="s">
        <v>70</v>
      </c>
      <c r="C498" t="s">
        <v>571</v>
      </c>
      <c r="D498" s="2">
        <v>9</v>
      </c>
      <c r="E498" s="2">
        <v>8</v>
      </c>
      <c r="F498" s="2">
        <v>1080360</v>
      </c>
      <c r="G498" s="3">
        <v>1.5163066497246929E-2</v>
      </c>
      <c r="H498" s="3">
        <v>0.27932960893854747</v>
      </c>
      <c r="I498" s="3">
        <v>0.16</v>
      </c>
      <c r="J498" s="4">
        <v>11</v>
      </c>
      <c r="K498" s="4">
        <v>20</v>
      </c>
      <c r="L498" s="4">
        <v>2768440</v>
      </c>
      <c r="M498" s="5">
        <v>1.7049915872125631E-2</v>
      </c>
      <c r="N498" s="5">
        <v>0.48684210526315791</v>
      </c>
      <c r="O498" s="5">
        <v>0.27027027027027029</v>
      </c>
      <c r="P498">
        <v>12</v>
      </c>
      <c r="Q498" s="1">
        <v>1.5</v>
      </c>
      <c r="R498">
        <v>1688080</v>
      </c>
      <c r="S498" s="1">
        <v>1.562516198304269</v>
      </c>
    </row>
    <row r="499" spans="1:19" x14ac:dyDescent="0.45">
      <c r="A499" t="s">
        <v>71</v>
      </c>
      <c r="B499" t="s">
        <v>71</v>
      </c>
      <c r="C499" t="s">
        <v>572</v>
      </c>
      <c r="D499" s="2">
        <v>4</v>
      </c>
      <c r="E499" s="2">
        <v>5</v>
      </c>
      <c r="F499" s="2">
        <v>1205950</v>
      </c>
      <c r="G499" s="3">
        <v>4.2354934349851756E-4</v>
      </c>
      <c r="H499" s="3">
        <v>1</v>
      </c>
      <c r="I499" s="3">
        <v>1</v>
      </c>
      <c r="J499" s="4">
        <v>9</v>
      </c>
      <c r="K499" s="4">
        <v>9</v>
      </c>
      <c r="L499" s="4">
        <v>2243660</v>
      </c>
      <c r="M499" s="5">
        <v>1.0095344924284913E-3</v>
      </c>
      <c r="N499" s="5">
        <v>1</v>
      </c>
      <c r="O499" s="5">
        <v>1</v>
      </c>
      <c r="P499">
        <v>4</v>
      </c>
      <c r="Q499" s="1">
        <v>0.8</v>
      </c>
      <c r="R499">
        <v>1037710</v>
      </c>
      <c r="S499" s="1">
        <v>0.86049172851279077</v>
      </c>
    </row>
    <row r="500" spans="1:19" x14ac:dyDescent="0.45">
      <c r="D500">
        <f>SUM(D2:D499)</f>
        <v>10003</v>
      </c>
      <c r="E500">
        <f>SUM(E2:E499)</f>
        <v>11772</v>
      </c>
      <c r="J500">
        <f>SUM(J2:J499)</f>
        <v>7837</v>
      </c>
      <c r="K500">
        <f>SUM(K2:K499)</f>
        <v>8915</v>
      </c>
    </row>
  </sheetData>
  <autoFilter ref="A1:S500" xr:uid="{15E18B45-08E9-484E-9A14-3903E0103119}">
    <sortState ref="A2:S500">
      <sortCondition ref="A1:A500"/>
    </sortState>
  </autoFilter>
  <phoneticPr fontId="2" type="noConversion"/>
  <pageMargins left="0.7" right="0.7" top="0.75" bottom="0.75" header="0.3" footer="0.3"/>
  <pageSetup paperSize="9" orientation="portrait" r:id="rId1"/>
  <ignoredErrors>
    <ignoredError sqref="A1:C1 P1:S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책상세트</vt:lpstr>
      <vt:lpstr>모션데스크</vt:lpstr>
      <vt:lpstr>수량</vt:lpstr>
      <vt:lpstr>Sheet1</vt:lpstr>
      <vt:lpstr>로우데이터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DESKER</cp:lastModifiedBy>
  <dcterms:modified xsi:type="dcterms:W3CDTF">2026-03-11T03:00:01Z</dcterms:modified>
</cp:coreProperties>
</file>